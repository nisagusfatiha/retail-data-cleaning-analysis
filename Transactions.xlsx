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ni\Downloads\CACA\EXCEL\ASSIGNMENT 1\"/>
    </mc:Choice>
  </mc:AlternateContent>
  <xr:revisionPtr revIDLastSave="0" documentId="13_ncr:1_{9A8DC870-87C6-4147-B27B-CCB81639D491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Sales_Offline" sheetId="1" r:id="rId1"/>
    <sheet name="Orders_Online" sheetId="2" r:id="rId2"/>
    <sheet name="Returns" sheetId="3" r:id="rId3"/>
    <sheet name="Targets" sheetId="4" r:id="rId4"/>
  </sheets>
  <externalReferences>
    <externalReference r:id="rId5"/>
  </externalReferences>
  <definedNames>
    <definedName name="_xlnm._FilterDatabase" localSheetId="1" hidden="1">Orders_Online!$A$1:$G$221</definedName>
    <definedName name="_xlnm._FilterDatabase" localSheetId="2" hidden="1">Returns!$A$1:$D$25</definedName>
    <definedName name="_xlnm._FilterDatabase" localSheetId="0" hidden="1">Sales_Offline!$A$1:$F$261</definedName>
  </definedNames>
  <calcPr calcId="191029"/>
</workbook>
</file>

<file path=xl/calcChain.xml><?xml version="1.0" encoding="utf-8"?>
<calcChain xmlns="http://schemas.openxmlformats.org/spreadsheetml/2006/main">
  <c r="N11" i="3" l="1"/>
  <c r="N12" i="3"/>
  <c r="N13" i="3"/>
  <c r="N14" i="3"/>
  <c r="N15" i="3"/>
  <c r="N10" i="3"/>
  <c r="M11" i="3"/>
  <c r="M12" i="3"/>
  <c r="M13" i="3"/>
  <c r="M14" i="3"/>
  <c r="M15" i="3"/>
  <c r="M10" i="3"/>
  <c r="L11" i="3"/>
  <c r="L12" i="3"/>
  <c r="L13" i="3"/>
  <c r="L14" i="3"/>
  <c r="L15" i="3"/>
  <c r="L10" i="3"/>
  <c r="K11" i="3"/>
  <c r="K12" i="3"/>
  <c r="K13" i="3"/>
  <c r="K14" i="3"/>
  <c r="K15" i="3"/>
  <c r="K10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" i="2"/>
  <c r="K5" i="2" l="1"/>
  <c r="K7" i="2"/>
  <c r="K6" i="2"/>
  <c r="K8" i="2"/>
  <c r="K4" i="2"/>
  <c r="I4" i="3"/>
  <c r="I5" i="3"/>
  <c r="I6" i="3"/>
  <c r="I3" i="3"/>
  <c r="F3" i="2"/>
  <c r="F5" i="2"/>
  <c r="F7" i="2"/>
  <c r="F9" i="2"/>
  <c r="F11" i="2"/>
  <c r="F13" i="2"/>
  <c r="F15" i="2"/>
  <c r="F17" i="2"/>
  <c r="F19" i="2"/>
  <c r="F21" i="2"/>
  <c r="F23" i="2"/>
  <c r="F25" i="2"/>
  <c r="F27" i="2"/>
  <c r="F29" i="2"/>
  <c r="F31" i="2"/>
  <c r="F33" i="2"/>
  <c r="F35" i="2"/>
  <c r="F37" i="2"/>
  <c r="F39" i="2"/>
  <c r="F41" i="2"/>
  <c r="F43" i="2"/>
  <c r="F45" i="2"/>
  <c r="F47" i="2"/>
  <c r="F49" i="2"/>
  <c r="F51" i="2"/>
  <c r="F53" i="2"/>
  <c r="F55" i="2"/>
  <c r="F57" i="2"/>
  <c r="F59" i="2"/>
  <c r="F61" i="2"/>
  <c r="F63" i="2"/>
  <c r="F65" i="2"/>
  <c r="F67" i="2"/>
  <c r="F69" i="2"/>
  <c r="F71" i="2"/>
  <c r="F73" i="2"/>
  <c r="F75" i="2"/>
  <c r="F77" i="2"/>
  <c r="F79" i="2"/>
  <c r="F81" i="2"/>
  <c r="F83" i="2"/>
  <c r="F85" i="2"/>
  <c r="F87" i="2"/>
  <c r="F89" i="2"/>
  <c r="F91" i="2"/>
  <c r="F93" i="2"/>
  <c r="F95" i="2"/>
  <c r="F97" i="2"/>
  <c r="F99" i="2"/>
  <c r="F101" i="2"/>
  <c r="F103" i="2"/>
  <c r="F105" i="2"/>
  <c r="F107" i="2"/>
  <c r="F109" i="2"/>
  <c r="F111" i="2"/>
  <c r="F113" i="2"/>
  <c r="F115" i="2"/>
  <c r="F117" i="2"/>
  <c r="F119" i="2"/>
  <c r="F121" i="2"/>
  <c r="F123" i="2"/>
  <c r="F125" i="2"/>
  <c r="F127" i="2"/>
  <c r="F129" i="2"/>
  <c r="F131" i="2"/>
  <c r="F133" i="2"/>
  <c r="F135" i="2"/>
  <c r="F137" i="2"/>
  <c r="F139" i="2"/>
  <c r="F141" i="2"/>
  <c r="F143" i="2"/>
  <c r="F145" i="2"/>
  <c r="F147" i="2"/>
  <c r="F149" i="2"/>
  <c r="F151" i="2"/>
  <c r="F153" i="2"/>
  <c r="F155" i="2"/>
  <c r="F157" i="2"/>
  <c r="F159" i="2"/>
  <c r="F161" i="2"/>
  <c r="F163" i="2"/>
  <c r="F165" i="2"/>
  <c r="F167" i="2"/>
  <c r="F169" i="2"/>
  <c r="F171" i="2"/>
  <c r="F173" i="2"/>
  <c r="F175" i="2"/>
  <c r="F177" i="2"/>
  <c r="F179" i="2"/>
  <c r="F181" i="2"/>
  <c r="F183" i="2"/>
  <c r="F185" i="2"/>
  <c r="F187" i="2"/>
  <c r="F189" i="2"/>
  <c r="F191" i="2"/>
  <c r="F193" i="2"/>
  <c r="F195" i="2"/>
  <c r="F197" i="2"/>
  <c r="F199" i="2"/>
  <c r="F201" i="2"/>
  <c r="F203" i="2"/>
  <c r="F205" i="2"/>
  <c r="F207" i="2"/>
  <c r="F209" i="2"/>
  <c r="F211" i="2"/>
  <c r="F213" i="2"/>
  <c r="F215" i="2"/>
  <c r="F217" i="2"/>
  <c r="F219" i="2"/>
  <c r="F221" i="2"/>
  <c r="F220" i="2"/>
  <c r="F4" i="2"/>
  <c r="F6" i="2"/>
  <c r="F8" i="2"/>
  <c r="F10" i="2"/>
  <c r="F12" i="2"/>
  <c r="F14" i="2"/>
  <c r="F16" i="2"/>
  <c r="F18" i="2"/>
  <c r="F20" i="2"/>
  <c r="F22" i="2"/>
  <c r="F24" i="2"/>
  <c r="F26" i="2"/>
  <c r="F28" i="2"/>
  <c r="F30" i="2"/>
  <c r="F32" i="2"/>
  <c r="F34" i="2"/>
  <c r="F36" i="2"/>
  <c r="F38" i="2"/>
  <c r="F40" i="2"/>
  <c r="F42" i="2"/>
  <c r="F44" i="2"/>
  <c r="F46" i="2"/>
  <c r="F48" i="2"/>
  <c r="F50" i="2"/>
  <c r="F52" i="2"/>
  <c r="F54" i="2"/>
  <c r="F56" i="2"/>
  <c r="F58" i="2"/>
  <c r="F60" i="2"/>
  <c r="F62" i="2"/>
  <c r="F64" i="2"/>
  <c r="F66" i="2"/>
  <c r="F68" i="2"/>
  <c r="F70" i="2"/>
  <c r="F72" i="2"/>
  <c r="F74" i="2"/>
  <c r="F76" i="2"/>
  <c r="F78" i="2"/>
  <c r="F80" i="2"/>
  <c r="F82" i="2"/>
  <c r="F84" i="2"/>
  <c r="F86" i="2"/>
  <c r="F88" i="2"/>
  <c r="F90" i="2"/>
  <c r="F92" i="2"/>
  <c r="F94" i="2"/>
  <c r="F96" i="2"/>
  <c r="F98" i="2"/>
  <c r="F100" i="2"/>
  <c r="F102" i="2"/>
  <c r="F104" i="2"/>
  <c r="F106" i="2"/>
  <c r="F108" i="2"/>
  <c r="F110" i="2"/>
  <c r="F112" i="2"/>
  <c r="F114" i="2"/>
  <c r="F116" i="2"/>
  <c r="F118" i="2"/>
  <c r="F120" i="2"/>
  <c r="F122" i="2"/>
  <c r="F124" i="2"/>
  <c r="F126" i="2"/>
  <c r="F128" i="2"/>
  <c r="F130" i="2"/>
  <c r="F132" i="2"/>
  <c r="F134" i="2"/>
  <c r="F136" i="2"/>
  <c r="F138" i="2"/>
  <c r="F140" i="2"/>
  <c r="F142" i="2"/>
  <c r="F144" i="2"/>
  <c r="F146" i="2"/>
  <c r="F148" i="2"/>
  <c r="F150" i="2"/>
  <c r="F152" i="2"/>
  <c r="F154" i="2"/>
  <c r="F156" i="2"/>
  <c r="F158" i="2"/>
  <c r="F160" i="2"/>
  <c r="F162" i="2"/>
  <c r="F164" i="2"/>
  <c r="F166" i="2"/>
  <c r="F168" i="2"/>
  <c r="F170" i="2"/>
  <c r="F172" i="2"/>
  <c r="F174" i="2"/>
  <c r="F176" i="2"/>
  <c r="F178" i="2"/>
  <c r="F180" i="2"/>
  <c r="F182" i="2"/>
  <c r="F184" i="2"/>
  <c r="F186" i="2"/>
  <c r="F188" i="2"/>
  <c r="F190" i="2"/>
  <c r="F192" i="2"/>
  <c r="F194" i="2"/>
  <c r="F196" i="2"/>
  <c r="F198" i="2"/>
  <c r="F200" i="2"/>
  <c r="F202" i="2"/>
  <c r="F204" i="2"/>
  <c r="F206" i="2"/>
  <c r="F208" i="2"/>
  <c r="F210" i="2"/>
  <c r="F212" i="2"/>
  <c r="F214" i="2"/>
  <c r="F216" i="2"/>
  <c r="F218" i="2"/>
  <c r="F2" i="2"/>
  <c r="C7" i="3"/>
  <c r="C16" i="3"/>
  <c r="C25" i="3"/>
  <c r="C3" i="3"/>
  <c r="C12" i="3"/>
  <c r="C21" i="3"/>
  <c r="C15" i="3"/>
  <c r="C24" i="3"/>
  <c r="C10" i="3"/>
  <c r="C11" i="3"/>
  <c r="C20" i="3"/>
  <c r="C6" i="3"/>
  <c r="C23" i="3"/>
  <c r="C9" i="3"/>
  <c r="C18" i="3"/>
  <c r="C19" i="3"/>
  <c r="C5" i="3"/>
  <c r="C14" i="3"/>
  <c r="C8" i="3"/>
  <c r="C17" i="3"/>
  <c r="C2" i="3"/>
  <c r="C4" i="3"/>
  <c r="C13" i="3"/>
  <c r="C22" i="3"/>
  <c r="J11" i="3" l="1"/>
  <c r="J13" i="3"/>
  <c r="J15" i="3"/>
  <c r="J12" i="3"/>
  <c r="J14" i="3"/>
  <c r="J10" i="3"/>
  <c r="E3" i="1"/>
  <c r="E11" i="1"/>
  <c r="E19" i="1"/>
  <c r="E27" i="1"/>
  <c r="E35" i="1"/>
  <c r="E43" i="1"/>
  <c r="E51" i="1"/>
  <c r="E59" i="1"/>
  <c r="E67" i="1"/>
  <c r="E75" i="1"/>
  <c r="E187" i="1"/>
  <c r="E91" i="1"/>
  <c r="E28" i="1"/>
  <c r="E107" i="1"/>
  <c r="E115" i="1"/>
  <c r="E123" i="1"/>
  <c r="E131" i="1"/>
  <c r="E139" i="1"/>
  <c r="E147" i="1"/>
  <c r="E155" i="1"/>
  <c r="E163" i="1"/>
  <c r="E171" i="1"/>
  <c r="E179" i="1"/>
  <c r="E232" i="1"/>
  <c r="E195" i="1"/>
  <c r="E203" i="1"/>
  <c r="E211" i="1"/>
  <c r="E246" i="1"/>
  <c r="E227" i="1"/>
  <c r="E235" i="1"/>
  <c r="E243" i="1"/>
  <c r="E251" i="1"/>
  <c r="E6" i="1"/>
  <c r="E22" i="1"/>
  <c r="E38" i="1"/>
  <c r="E54" i="1"/>
  <c r="E70" i="1"/>
  <c r="E86" i="1"/>
  <c r="E102" i="1"/>
  <c r="E118" i="1"/>
  <c r="E134" i="1"/>
  <c r="E150" i="1"/>
  <c r="E166" i="1"/>
  <c r="E182" i="1"/>
  <c r="E198" i="1"/>
  <c r="E214" i="1"/>
  <c r="E143" i="1"/>
  <c r="E18" i="1"/>
  <c r="E259" i="1"/>
  <c r="E258" i="1"/>
  <c r="E151" i="1"/>
  <c r="E36" i="1"/>
  <c r="E52" i="1"/>
  <c r="E68" i="1"/>
  <c r="E84" i="1"/>
  <c r="E100" i="1"/>
  <c r="E116" i="1"/>
  <c r="E132" i="1"/>
  <c r="E148" i="1"/>
  <c r="E164" i="1"/>
  <c r="E180" i="1"/>
  <c r="E196" i="1"/>
  <c r="E212" i="1"/>
  <c r="E228" i="1"/>
  <c r="E188" i="1"/>
  <c r="E17" i="1"/>
  <c r="E25" i="1"/>
  <c r="E33" i="1"/>
  <c r="E41" i="1"/>
  <c r="E49" i="1"/>
  <c r="E60" i="1"/>
  <c r="E65" i="1"/>
  <c r="E73" i="1"/>
  <c r="E81" i="1"/>
  <c r="E89" i="1"/>
  <c r="E97" i="1"/>
  <c r="E105" i="1"/>
  <c r="E113" i="1"/>
  <c r="E121" i="1"/>
  <c r="E129" i="1"/>
  <c r="E137" i="1"/>
  <c r="E145" i="1"/>
  <c r="E153" i="1"/>
  <c r="E161" i="1"/>
  <c r="E169" i="1"/>
  <c r="E177" i="1"/>
  <c r="E185" i="1"/>
  <c r="E193" i="1"/>
  <c r="E201" i="1"/>
  <c r="E209" i="1"/>
  <c r="E99" i="1"/>
  <c r="E225" i="1"/>
  <c r="E233" i="1"/>
  <c r="E219" i="1"/>
  <c r="E249" i="1"/>
  <c r="E4" i="1"/>
  <c r="E191" i="1"/>
  <c r="E34" i="1"/>
  <c r="E50" i="1"/>
  <c r="E66" i="1"/>
  <c r="E230" i="1"/>
  <c r="E20" i="1"/>
  <c r="E114" i="1"/>
  <c r="E130" i="1"/>
  <c r="E146" i="1"/>
  <c r="E162" i="1"/>
  <c r="E16" i="1"/>
  <c r="E14" i="1"/>
  <c r="E257" i="1"/>
  <c r="E64" i="1"/>
  <c r="E48" i="1"/>
  <c r="E80" i="1"/>
  <c r="E112" i="1"/>
  <c r="E144" i="1"/>
  <c r="E176" i="1"/>
  <c r="E128" i="1"/>
  <c r="E236" i="1"/>
  <c r="E260" i="1"/>
  <c r="E186" i="1"/>
  <c r="E218" i="1"/>
  <c r="E250" i="1"/>
  <c r="E8" i="1"/>
  <c r="E40" i="1"/>
  <c r="E72" i="1"/>
  <c r="E104" i="1"/>
  <c r="E136" i="1"/>
  <c r="E168" i="1"/>
  <c r="E15" i="1"/>
  <c r="E31" i="1"/>
  <c r="E47" i="1"/>
  <c r="E63" i="1"/>
  <c r="E79" i="1"/>
  <c r="E95" i="1"/>
  <c r="E111" i="1"/>
  <c r="E127" i="1"/>
  <c r="E226" i="1"/>
  <c r="E159" i="1"/>
  <c r="E175" i="1"/>
  <c r="E252" i="1"/>
  <c r="E207" i="1"/>
  <c r="E223" i="1"/>
  <c r="E239" i="1"/>
  <c r="E255" i="1"/>
  <c r="E30" i="1"/>
  <c r="E62" i="1"/>
  <c r="E94" i="1"/>
  <c r="E126" i="1"/>
  <c r="E158" i="1"/>
  <c r="E190" i="1"/>
  <c r="E9" i="1"/>
  <c r="E254" i="1"/>
  <c r="E12" i="1"/>
  <c r="E44" i="1"/>
  <c r="E76" i="1"/>
  <c r="E108" i="1"/>
  <c r="E140" i="1"/>
  <c r="E172" i="1"/>
  <c r="E204" i="1"/>
  <c r="E5" i="1"/>
  <c r="E21" i="1"/>
  <c r="E194" i="1"/>
  <c r="E53" i="1"/>
  <c r="E69" i="1"/>
  <c r="E222" i="1"/>
  <c r="E101" i="1"/>
  <c r="E117" i="1"/>
  <c r="E133" i="1"/>
  <c r="E149" i="1"/>
  <c r="E165" i="1"/>
  <c r="E181" i="1"/>
  <c r="E197" i="1"/>
  <c r="E83" i="1"/>
  <c r="E229" i="1"/>
  <c r="E245" i="1"/>
  <c r="E10" i="1"/>
  <c r="E42" i="1"/>
  <c r="E74" i="1"/>
  <c r="E106" i="1"/>
  <c r="E138" i="1"/>
  <c r="E178" i="1"/>
  <c r="E242" i="1"/>
  <c r="E32" i="1"/>
  <c r="E96" i="1"/>
  <c r="E160" i="1"/>
  <c r="E224" i="1"/>
  <c r="E170" i="1"/>
  <c r="E234" i="1"/>
  <c r="E24" i="1"/>
  <c r="E88" i="1"/>
  <c r="E152" i="1"/>
  <c r="E200" i="1"/>
  <c r="E217" i="1"/>
  <c r="E256" i="1"/>
  <c r="D22" i="3"/>
  <c r="D9" i="3"/>
  <c r="D12" i="3"/>
  <c r="D24" i="3"/>
  <c r="D25" i="3"/>
  <c r="D5" i="3"/>
  <c r="D13" i="3"/>
  <c r="D3" i="3"/>
  <c r="D16" i="3"/>
  <c r="D18" i="3"/>
  <c r="D11" i="3"/>
  <c r="D15" i="3"/>
  <c r="E7" i="1"/>
  <c r="E23" i="1"/>
  <c r="E39" i="1"/>
  <c r="E55" i="1"/>
  <c r="E71" i="1"/>
  <c r="E87" i="1"/>
  <c r="E103" i="1"/>
  <c r="E119" i="1"/>
  <c r="E135" i="1"/>
  <c r="E208" i="1"/>
  <c r="E167" i="1"/>
  <c r="E183" i="1"/>
  <c r="E199" i="1"/>
  <c r="E215" i="1"/>
  <c r="E231" i="1"/>
  <c r="E247" i="1"/>
  <c r="E241" i="1"/>
  <c r="E46" i="1"/>
  <c r="E78" i="1"/>
  <c r="E110" i="1"/>
  <c r="E142" i="1"/>
  <c r="E174" i="1"/>
  <c r="E206" i="1"/>
  <c r="E85" i="1"/>
  <c r="E244" i="1"/>
  <c r="E98" i="1"/>
  <c r="E213" i="1"/>
  <c r="E92" i="1"/>
  <c r="E124" i="1"/>
  <c r="E156" i="1"/>
  <c r="E37" i="1"/>
  <c r="E220" i="1"/>
  <c r="E13" i="1"/>
  <c r="E29" i="1"/>
  <c r="E45" i="1"/>
  <c r="E61" i="1"/>
  <c r="E77" i="1"/>
  <c r="E93" i="1"/>
  <c r="E109" i="1"/>
  <c r="E125" i="1"/>
  <c r="E141" i="1"/>
  <c r="E157" i="1"/>
  <c r="E173" i="1"/>
  <c r="E189" i="1"/>
  <c r="E205" i="1"/>
  <c r="E221" i="1"/>
  <c r="E237" i="1"/>
  <c r="E253" i="1"/>
  <c r="E82" i="1"/>
  <c r="E58" i="1"/>
  <c r="E90" i="1"/>
  <c r="E122" i="1"/>
  <c r="E154" i="1"/>
  <c r="E210" i="1"/>
  <c r="E57" i="1"/>
  <c r="E238" i="1"/>
  <c r="E26" i="1"/>
  <c r="E192" i="1"/>
  <c r="E248" i="1"/>
  <c r="E202" i="1"/>
  <c r="E261" i="1"/>
  <c r="E56" i="1"/>
  <c r="E120" i="1"/>
  <c r="E184" i="1"/>
  <c r="E216" i="1"/>
  <c r="E240" i="1"/>
  <c r="E2" i="1"/>
  <c r="D4" i="3"/>
  <c r="D2" i="3"/>
  <c r="D17" i="3"/>
  <c r="D20" i="3"/>
  <c r="D7" i="3"/>
  <c r="D10" i="3"/>
  <c r="D23" i="3"/>
  <c r="D6" i="3"/>
  <c r="D19" i="3"/>
  <c r="D8" i="3"/>
  <c r="D14" i="3"/>
  <c r="D21" i="3"/>
  <c r="F2" i="1" l="1"/>
  <c r="F256" i="1"/>
  <c r="F240" i="1"/>
  <c r="F217" i="1"/>
  <c r="F216" i="1"/>
  <c r="F200" i="1"/>
  <c r="F184" i="1"/>
  <c r="F168" i="1"/>
  <c r="F152" i="1"/>
  <c r="F136" i="1"/>
  <c r="F120" i="1"/>
  <c r="F104" i="1"/>
  <c r="F88" i="1"/>
  <c r="F72" i="1"/>
  <c r="F56" i="1"/>
  <c r="F40" i="1"/>
  <c r="F24" i="1"/>
  <c r="F8" i="1"/>
  <c r="F261" i="1"/>
  <c r="F250" i="1"/>
  <c r="F234" i="1"/>
  <c r="F218" i="1"/>
  <c r="F202" i="1"/>
  <c r="F186" i="1"/>
  <c r="F170" i="1"/>
  <c r="F260" i="1"/>
  <c r="F248" i="1"/>
  <c r="F236" i="1"/>
  <c r="F224" i="1"/>
  <c r="F128" i="1"/>
  <c r="F192" i="1"/>
  <c r="F176" i="1"/>
  <c r="F160" i="1"/>
  <c r="F144" i="1"/>
  <c r="F26" i="1"/>
  <c r="F112" i="1"/>
  <c r="F96" i="1"/>
  <c r="F80" i="1"/>
  <c r="F238" i="1"/>
  <c r="F48" i="1"/>
  <c r="F32" i="1"/>
  <c r="F64" i="1"/>
  <c r="F57" i="1"/>
  <c r="F257" i="1"/>
  <c r="F242" i="1"/>
  <c r="F14" i="1"/>
  <c r="F210" i="1"/>
  <c r="F16" i="1"/>
  <c r="F178" i="1"/>
  <c r="F162" i="1"/>
  <c r="F154" i="1"/>
  <c r="F146" i="1"/>
  <c r="F138" i="1"/>
  <c r="F130" i="1"/>
  <c r="F122" i="1"/>
  <c r="F114" i="1"/>
  <c r="F106" i="1"/>
  <c r="F20" i="1"/>
  <c r="F90" i="1"/>
  <c r="F230" i="1"/>
  <c r="F74" i="1"/>
  <c r="F66" i="1"/>
  <c r="F58" i="1"/>
  <c r="F50" i="1"/>
  <c r="F42" i="1"/>
  <c r="F34" i="1"/>
  <c r="F82" i="1"/>
  <c r="F191" i="1"/>
  <c r="F10" i="1"/>
  <c r="F4" i="1"/>
  <c r="F253" i="1"/>
  <c r="F249" i="1"/>
  <c r="F245" i="1"/>
  <c r="F219" i="1"/>
  <c r="F237" i="1"/>
  <c r="F233" i="1"/>
  <c r="F229" i="1"/>
  <c r="F225" i="1"/>
  <c r="F221" i="1"/>
  <c r="F99" i="1"/>
  <c r="F83" i="1"/>
  <c r="F209" i="1"/>
  <c r="F205" i="1"/>
  <c r="F201" i="1"/>
  <c r="F197" i="1"/>
  <c r="F193" i="1"/>
  <c r="F189" i="1"/>
  <c r="F185" i="1"/>
  <c r="F181" i="1"/>
  <c r="F177" i="1"/>
  <c r="F173" i="1"/>
  <c r="F169" i="1"/>
  <c r="F165" i="1"/>
  <c r="F161" i="1"/>
  <c r="F157" i="1"/>
  <c r="F153" i="1"/>
  <c r="F149" i="1"/>
  <c r="F145" i="1"/>
  <c r="F141" i="1"/>
  <c r="F137" i="1"/>
  <c r="F133" i="1"/>
  <c r="F129" i="1"/>
  <c r="F125" i="1"/>
  <c r="F121" i="1"/>
  <c r="F117" i="1"/>
  <c r="F113" i="1"/>
  <c r="F109" i="1"/>
  <c r="F105" i="1"/>
  <c r="F101" i="1"/>
  <c r="F97" i="1"/>
  <c r="F93" i="1"/>
  <c r="F89" i="1"/>
  <c r="F222" i="1"/>
  <c r="F81" i="1"/>
  <c r="F77" i="1"/>
  <c r="F73" i="1"/>
  <c r="F69" i="1"/>
  <c r="F65" i="1"/>
  <c r="F61" i="1"/>
  <c r="F60" i="1"/>
  <c r="F53" i="1"/>
  <c r="F49" i="1"/>
  <c r="F45" i="1"/>
  <c r="F41" i="1"/>
  <c r="F194" i="1"/>
  <c r="F33" i="1"/>
  <c r="F29" i="1"/>
  <c r="F25" i="1"/>
  <c r="F21" i="1"/>
  <c r="F17" i="1"/>
  <c r="F13" i="1"/>
  <c r="F188" i="1"/>
  <c r="F5" i="1"/>
  <c r="F228" i="1"/>
  <c r="F220" i="1"/>
  <c r="F212" i="1"/>
  <c r="F204" i="1"/>
  <c r="F196" i="1"/>
  <c r="F37" i="1"/>
  <c r="F180" i="1"/>
  <c r="F172" i="1"/>
  <c r="F164" i="1"/>
  <c r="F156" i="1"/>
  <c r="F148" i="1"/>
  <c r="F140" i="1"/>
  <c r="F132" i="1"/>
  <c r="F124" i="1"/>
  <c r="F116" i="1"/>
  <c r="F108" i="1"/>
  <c r="F100" i="1"/>
  <c r="F92" i="1"/>
  <c r="F84" i="1"/>
  <c r="F76" i="1"/>
  <c r="F68" i="1"/>
  <c r="F213" i="1"/>
  <c r="F52" i="1"/>
  <c r="F44" i="1"/>
  <c r="F36" i="1"/>
  <c r="F98" i="1"/>
  <c r="F151" i="1"/>
  <c r="F12" i="1"/>
  <c r="F258" i="1"/>
  <c r="F244" i="1"/>
  <c r="F259" i="1"/>
  <c r="F254" i="1"/>
  <c r="F18" i="1"/>
  <c r="F85" i="1"/>
  <c r="F143" i="1"/>
  <c r="F9" i="1"/>
  <c r="F214" i="1"/>
  <c r="F206" i="1"/>
  <c r="F198" i="1"/>
  <c r="F190" i="1"/>
  <c r="F182" i="1"/>
  <c r="F174" i="1"/>
  <c r="F166" i="1"/>
  <c r="F158" i="1"/>
  <c r="F150" i="1"/>
  <c r="F142" i="1"/>
  <c r="F134" i="1"/>
  <c r="F126" i="1"/>
  <c r="F118" i="1"/>
  <c r="F110" i="1"/>
  <c r="F102" i="1"/>
  <c r="F94" i="1"/>
  <c r="F86" i="1"/>
  <c r="F78" i="1"/>
  <c r="F70" i="1"/>
  <c r="F62" i="1"/>
  <c r="F54" i="1"/>
  <c r="F46" i="1"/>
  <c r="F38" i="1"/>
  <c r="F30" i="1"/>
  <c r="F22" i="1"/>
  <c r="F241" i="1"/>
  <c r="F6" i="1"/>
  <c r="F255" i="1"/>
  <c r="F251" i="1"/>
  <c r="F247" i="1"/>
  <c r="F243" i="1"/>
  <c r="F239" i="1"/>
  <c r="F235" i="1"/>
  <c r="F231" i="1"/>
  <c r="F227" i="1"/>
  <c r="F223" i="1"/>
  <c r="F246" i="1"/>
  <c r="F215" i="1"/>
  <c r="F211" i="1"/>
  <c r="F207" i="1"/>
  <c r="F203" i="1"/>
  <c r="F199" i="1"/>
  <c r="F195" i="1"/>
  <c r="F252" i="1"/>
  <c r="F232" i="1"/>
  <c r="F183" i="1"/>
  <c r="F179" i="1"/>
  <c r="F175" i="1"/>
  <c r="F171" i="1"/>
  <c r="F167" i="1"/>
  <c r="F163" i="1"/>
  <c r="F159" i="1"/>
  <c r="F155" i="1"/>
  <c r="F208" i="1"/>
  <c r="F147" i="1"/>
  <c r="F226" i="1"/>
  <c r="F139" i="1"/>
  <c r="F135" i="1"/>
  <c r="F131" i="1"/>
  <c r="F127" i="1"/>
  <c r="F123" i="1"/>
  <c r="F119" i="1"/>
  <c r="F115" i="1"/>
  <c r="F111" i="1"/>
  <c r="F107" i="1"/>
  <c r="F103" i="1"/>
  <c r="F28" i="1"/>
  <c r="F95" i="1"/>
  <c r="F91" i="1"/>
  <c r="F87" i="1"/>
  <c r="F187" i="1"/>
  <c r="F79" i="1"/>
  <c r="F75" i="1"/>
  <c r="F71" i="1"/>
  <c r="F67" i="1"/>
  <c r="F63" i="1"/>
  <c r="F59" i="1"/>
  <c r="F55" i="1"/>
  <c r="F51" i="1"/>
  <c r="F47" i="1"/>
  <c r="F43" i="1"/>
  <c r="F39" i="1"/>
  <c r="F35" i="1"/>
  <c r="F31" i="1"/>
  <c r="F27" i="1"/>
  <c r="F23" i="1"/>
  <c r="F19" i="1"/>
  <c r="F15" i="1"/>
  <c r="F11" i="1"/>
  <c r="F7" i="1"/>
  <c r="F3" i="1"/>
</calcChain>
</file>

<file path=xl/sharedStrings.xml><?xml version="1.0" encoding="utf-8"?>
<sst xmlns="http://schemas.openxmlformats.org/spreadsheetml/2006/main" count="1507" uniqueCount="330">
  <si>
    <t>Tanggal</t>
  </si>
  <si>
    <t>StoreID</t>
  </si>
  <si>
    <t>ProductID</t>
  </si>
  <si>
    <t>Qty</t>
  </si>
  <si>
    <t>04-07-2025</t>
  </si>
  <si>
    <t>23-08-2025</t>
  </si>
  <si>
    <t>21-07-2025</t>
  </si>
  <si>
    <t>14-07-2025</t>
  </si>
  <si>
    <t>30-08-2025</t>
  </si>
  <si>
    <t>29-07-2025</t>
  </si>
  <si>
    <t>03-07-2025</t>
  </si>
  <si>
    <t>17-07-2025</t>
  </si>
  <si>
    <t>04-08-2025</t>
  </si>
  <si>
    <t>29-08-2025</t>
  </si>
  <si>
    <t>15-08-2025</t>
  </si>
  <si>
    <t>27-07-2025</t>
  </si>
  <si>
    <t>14-08-2025</t>
  </si>
  <si>
    <t>07-07-2025</t>
  </si>
  <si>
    <t>10-08-2025</t>
  </si>
  <si>
    <t>31-08-2025</t>
  </si>
  <si>
    <t>15-07-2025</t>
  </si>
  <si>
    <t>01-08-2025</t>
  </si>
  <si>
    <t>25-08-2025</t>
  </si>
  <si>
    <t>08-08-2025</t>
  </si>
  <si>
    <t>23-07-2025</t>
  </si>
  <si>
    <t>10-07-2025</t>
  </si>
  <si>
    <t>18-07-2025</t>
  </si>
  <si>
    <t>13-07-2025</t>
  </si>
  <si>
    <t>05-08-2025</t>
  </si>
  <si>
    <t>09-08-2025</t>
  </si>
  <si>
    <t>18-08-2025</t>
  </si>
  <si>
    <t>16-08-2025</t>
  </si>
  <si>
    <t>16-07-2025</t>
  </si>
  <si>
    <t>12-07-2025</t>
  </si>
  <si>
    <t>27-08-2025</t>
  </si>
  <si>
    <t>09-07-2025</t>
  </si>
  <si>
    <t>08-07-2025</t>
  </si>
  <si>
    <t>12-08-2025</t>
  </si>
  <si>
    <t>28-08-2025</t>
  </si>
  <si>
    <t>17-08-2025</t>
  </si>
  <si>
    <t>06-07-2025</t>
  </si>
  <si>
    <t>07-08-2025</t>
  </si>
  <si>
    <t>22-07-2025</t>
  </si>
  <si>
    <t>11-07-2025</t>
  </si>
  <si>
    <t>26-08-2025</t>
  </si>
  <si>
    <t>21-08-2025</t>
  </si>
  <si>
    <t>20-07-2025</t>
  </si>
  <si>
    <t>26-07-2025</t>
  </si>
  <si>
    <t>06-08-2025</t>
  </si>
  <si>
    <t>02-08-2025</t>
  </si>
  <si>
    <t>24-07-2025</t>
  </si>
  <si>
    <t>19-08-2025</t>
  </si>
  <si>
    <t>22-08-2025</t>
  </si>
  <si>
    <t>19-07-2025</t>
  </si>
  <si>
    <t>13-08-2025</t>
  </si>
  <si>
    <t>05-07-2025</t>
  </si>
  <si>
    <t>11-08-2025</t>
  </si>
  <si>
    <t>01-07-2025</t>
  </si>
  <si>
    <t>24-08-2025</t>
  </si>
  <si>
    <t>03-08-2025</t>
  </si>
  <si>
    <t>25-07-2025</t>
  </si>
  <si>
    <t>28-07-2025</t>
  </si>
  <si>
    <t>02-07-2025</t>
  </si>
  <si>
    <t>30-07-2025</t>
  </si>
  <si>
    <t>S03</t>
  </si>
  <si>
    <t>S02</t>
  </si>
  <si>
    <t>S01</t>
  </si>
  <si>
    <t>S04</t>
  </si>
  <si>
    <t>P002</t>
  </si>
  <si>
    <t>P003</t>
  </si>
  <si>
    <t>P004</t>
  </si>
  <si>
    <t>P006</t>
  </si>
  <si>
    <t>P001</t>
  </si>
  <si>
    <t>P005</t>
  </si>
  <si>
    <t>P999</t>
  </si>
  <si>
    <t>OrderID</t>
  </si>
  <si>
    <t>CustID</t>
  </si>
  <si>
    <t>31-07-2025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</si>
  <si>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</si>
  <si>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</si>
  <si>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</si>
  <si>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</si>
  <si>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</si>
  <si>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</si>
  <si>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</si>
  <si>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</si>
  <si>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</si>
  <si>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</si>
  <si>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</si>
  <si>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</si>
  <si>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</si>
  <si>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</si>
  <si>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</si>
  <si>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</si>
  <si>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</si>
  <si>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</si>
  <si>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</si>
  <si>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</si>
  <si>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</si>
  <si>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</si>
  <si>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</si>
  <si>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</si>
  <si>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</si>
  <si>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</si>
  <si>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</si>
  <si>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</si>
  <si>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</si>
  <si>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</si>
  <si>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</si>
  <si>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</si>
  <si>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</si>
  <si>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</si>
  <si>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</si>
  <si>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</si>
  <si>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</si>
  <si>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</si>
  <si>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</si>
  <si>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</si>
  <si>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</si>
  <si>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</si>
  <si>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</si>
  <si>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</si>
  <si>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</si>
  <si>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</si>
  <si>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</si>
  <si>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</si>
  <si>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</si>
  <si>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</si>
  <si>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</si>
  <si>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</si>
  <si>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</si>
  <si>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</si>
  <si>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</si>
  <si>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</si>
  <si>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</si>
  <si>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</si>
  <si>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</si>
  <si>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</si>
  <si>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</si>
  <si>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</si>
  <si>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</si>
  <si>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</si>
  <si>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</si>
  <si>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</si>
  <si>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</si>
  <si>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</si>
  <si>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</si>
  <si>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</si>
  <si>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</si>
  <si>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</si>
  <si>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</si>
  <si>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</si>
  <si>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</si>
  <si>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</si>
  <si>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</si>
  <si>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</si>
  <si>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</si>
  <si>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</si>
  <si>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</si>
  <si>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</si>
  <si>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</si>
  <si>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</si>
  <si>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</si>
  <si>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</si>
  <si>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</si>
  <si>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</si>
  <si>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</si>
  <si>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</si>
  <si>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</si>
  <si>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</si>
  <si>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</si>
  <si>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</si>
  <si>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</si>
  <si>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</si>
  <si>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</si>
  <si>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</si>
  <si>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</si>
  <si>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</si>
  <si>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</si>
  <si>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</si>
  <si>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</si>
  <si>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</si>
  <si>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</si>
  <si>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</si>
  <si>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</si>
  <si>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</si>
  <si>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</si>
  <si>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</si>
  <si>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</si>
  <si>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</si>
  <si>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</si>
  <si>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</si>
  <si>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</si>
  <si>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</si>
  <si>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</si>
  <si>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</si>
  <si>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</si>
  <si>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</si>
  <si>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</si>
  <si>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</si>
  <si>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</si>
  <si>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</si>
  <si>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</si>
  <si>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</si>
  <si>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</si>
  <si>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</si>
  <si>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</si>
  <si>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</si>
  <si>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</si>
  <si>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</si>
  <si>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</si>
  <si>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</si>
  <si>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</si>
  <si>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</si>
  <si>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</si>
  <si>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</si>
  <si>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</si>
  <si>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</si>
  <si>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</si>
  <si>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</si>
  <si>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</si>
  <si>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</si>
  <si>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</si>
  <si>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</si>
  <si>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</si>
  <si>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</si>
  <si>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</si>
  <si>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</si>
  <si>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</si>
  <si>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</si>
  <si>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</si>
  <si>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</si>
  <si>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</si>
  <si>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</si>
  <si>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</si>
  <si>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</si>
  <si>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</si>
  <si>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</si>
  <si>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</si>
  <si>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</si>
  <si>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</si>
  <si>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</si>
  <si>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</si>
  <si>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</si>
  <si>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</si>
  <si>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</si>
  <si>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</si>
  <si>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</si>
  <si>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</si>
  <si>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</si>
  <si>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</si>
  <si>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</si>
  <si>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</si>
  <si>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</si>
  <si>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</si>
  <si>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</si>
  <si>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</si>
  <si>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</si>
  <si>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</si>
  <si>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</si>
  <si>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</si>
  <si>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</si>
  <si>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</si>
  <si>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</si>
  <si>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</si>
  <si>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</si>
  <si>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</si>
  <si>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</si>
  <si>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</si>
  <si>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</si>
  <si>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</si>
  <si>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</si>
  <si>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</si>
  <si>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</si>
  <si>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</si>
  <si>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</si>
  <si>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</si>
  <si>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</si>
  <si>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</si>
  <si>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</si>
  <si>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</si>
  <si>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</si>
  <si>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</si>
  <si>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</si>
  <si>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</si>
  <si>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</si>
  <si>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</si>
  <si>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</si>
  <si>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</si>
  <si>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</si>
  <si>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</si>
  <si>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</si>
  <si>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</si>
  <si>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</si>
  <si>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</si>
  <si>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</si>
  <si>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</si>
  <si>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</si>
  <si>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C02</t>
  </si>
  <si>
    <t>C01</t>
  </si>
  <si>
    <t>C03</t>
  </si>
  <si>
    <t>C05</t>
  </si>
  <si>
    <t>C04</t>
  </si>
  <si>
    <t>C99</t>
  </si>
  <si>
    <t>SKU999</t>
  </si>
  <si>
    <t>Alasan</t>
  </si>
  <si>
    <t>Lainnya</t>
  </si>
  <si>
    <t>Salah Kirim</t>
  </si>
  <si>
    <t>Rusak</t>
  </si>
  <si>
    <t>Tidak Puas</t>
  </si>
  <si>
    <t>Bulan</t>
  </si>
  <si>
    <t>TargetQty</t>
  </si>
  <si>
    <t>TargetRevenue_IDR</t>
  </si>
  <si>
    <t>07-2025</t>
  </si>
  <si>
    <t>NamaProduk</t>
  </si>
  <si>
    <t>Keyboard Mecha</t>
  </si>
  <si>
    <t>Mouse Wireless</t>
  </si>
  <si>
    <t>Headset Gaming</t>
  </si>
  <si>
    <t>Webcam HD</t>
  </si>
  <si>
    <t>USB-C Hub</t>
  </si>
  <si>
    <t>Mousepad XXL</t>
  </si>
  <si>
    <t>Banyak Retur</t>
  </si>
  <si>
    <t>HargaJual_IDR</t>
  </si>
  <si>
    <t>TotalRevenue_Offline</t>
  </si>
  <si>
    <t>Tier</t>
  </si>
  <si>
    <t>Gold</t>
  </si>
  <si>
    <t>Silver</t>
  </si>
  <si>
    <t>Bronze</t>
  </si>
  <si>
    <t>ValidTRX</t>
  </si>
  <si>
    <t>Ongkir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</si>
</sst>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42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3" fontId="0" fillId="0" borderId="0" xfId="0" applyNumberFormat="1" applyBorder="1"/>
    <xf numFmtId="0" fontId="1" fillId="0" borderId="3" xfId="0" applyFont="1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s"/>
      <sheetName val="Stores"/>
      <sheetName val="Customers"/>
      <sheetName val="ShippingRates"/>
      <sheetName val="PriceList"/>
    </sheetNames>
    <sheetDataSet>
      <sheetData sheetId="0">
        <row r="1">
          <cell r="A1" t="str">
            <v>ProductID</v>
          </cell>
          <cell r="B1" t="str">
            <v>NamaProduk</v>
          </cell>
        </row>
        <row r="2">
          <cell r="A2" t="str">
            <v>P001</v>
          </cell>
          <cell r="B2" t="str">
            <v>Keyboard Mecha</v>
          </cell>
        </row>
        <row r="3">
          <cell r="A3" t="str">
            <v>P002</v>
          </cell>
          <cell r="B3" t="str">
            <v>Mouse Wireless</v>
          </cell>
        </row>
        <row r="4">
          <cell r="A4" t="str">
            <v>P003</v>
          </cell>
          <cell r="B4" t="str">
            <v>Headset Gaming</v>
          </cell>
        </row>
        <row r="5">
          <cell r="A5" t="str">
            <v>P004</v>
          </cell>
          <cell r="B5" t="str">
            <v>Webcam HD</v>
          </cell>
        </row>
        <row r="6">
          <cell r="A6" t="str">
            <v>P005</v>
          </cell>
          <cell r="B6" t="str">
            <v>USB-C Hub</v>
          </cell>
        </row>
        <row r="7">
          <cell r="A7" t="str">
            <v>P006</v>
          </cell>
          <cell r="B7" t="str">
            <v>Mousepad XXL</v>
          </cell>
        </row>
      </sheetData>
      <sheetData sheetId="1">
        <row r="1">
          <cell r="A1" t="str">
            <v>StoreID</v>
          </cell>
        </row>
      </sheetData>
      <sheetData sheetId="2">
        <row r="1">
          <cell r="A1" t="str">
            <v>CustID</v>
          </cell>
          <cell r="D1" t="str">
            <v>Tier</v>
          </cell>
        </row>
        <row r="2">
          <cell r="A2" t="str">
            <v>C01</v>
          </cell>
          <cell r="D2" t="str">
            <v>Gold</v>
          </cell>
        </row>
        <row r="3">
          <cell r="A3" t="str">
            <v>C02</v>
          </cell>
          <cell r="D3" t="str">
            <v>Silver</v>
          </cell>
        </row>
        <row r="4">
          <cell r="A4" t="str">
            <v>C03</v>
          </cell>
          <cell r="D4" t="str">
            <v>Bronze</v>
          </cell>
        </row>
        <row r="5">
          <cell r="A5" t="str">
            <v>C04</v>
          </cell>
          <cell r="D5" t="str">
            <v>Gold</v>
          </cell>
        </row>
        <row r="6">
          <cell r="A6" t="str">
            <v>C05</v>
          </cell>
          <cell r="D6" t="str">
            <v>Silver</v>
          </cell>
        </row>
      </sheetData>
      <sheetData sheetId="3"/>
      <sheetData sheetId="4">
        <row r="1">
          <cell r="C1" t="str">
            <v>HargaJual_IDR</v>
          </cell>
          <cell r="D1" t="str">
            <v>Criteria</v>
          </cell>
        </row>
        <row r="2">
          <cell r="C2">
            <v>442673</v>
          </cell>
          <cell r="D2" t="str">
            <v>S01P001</v>
          </cell>
        </row>
        <row r="3">
          <cell r="C3">
            <v>200061</v>
          </cell>
          <cell r="D3" t="str">
            <v>S01P002</v>
          </cell>
        </row>
        <row r="4">
          <cell r="C4">
            <v>524199</v>
          </cell>
          <cell r="D4" t="str">
            <v>S01P003</v>
          </cell>
        </row>
        <row r="5">
          <cell r="C5">
            <v>335496</v>
          </cell>
          <cell r="D5" t="str">
            <v>S01P004</v>
          </cell>
        </row>
        <row r="6">
          <cell r="C6">
            <v>218017</v>
          </cell>
          <cell r="D6" t="str">
            <v>S01P005</v>
          </cell>
        </row>
        <row r="7">
          <cell r="C7">
            <v>110059</v>
          </cell>
          <cell r="D7" t="str">
            <v>S01P006</v>
          </cell>
        </row>
        <row r="8">
          <cell r="C8">
            <v>434372</v>
          </cell>
          <cell r="D8" t="str">
            <v>S02P001</v>
          </cell>
        </row>
        <row r="9">
          <cell r="C9">
            <v>170201</v>
          </cell>
          <cell r="D9" t="str">
            <v>S02P002</v>
          </cell>
        </row>
        <row r="10">
          <cell r="C10">
            <v>532597</v>
          </cell>
          <cell r="D10" t="str">
            <v>S02P003</v>
          </cell>
        </row>
        <row r="11">
          <cell r="C11">
            <v>302904</v>
          </cell>
          <cell r="D11" t="str">
            <v>S02P004</v>
          </cell>
        </row>
        <row r="12">
          <cell r="C12">
            <v>232909</v>
          </cell>
          <cell r="D12" t="str">
            <v>S02P005</v>
          </cell>
        </row>
        <row r="13">
          <cell r="C13">
            <v>86241</v>
          </cell>
          <cell r="D13" t="str">
            <v>S02P006</v>
          </cell>
        </row>
        <row r="14">
          <cell r="C14">
            <v>468002</v>
          </cell>
          <cell r="D14" t="str">
            <v>S03P001</v>
          </cell>
        </row>
        <row r="15">
          <cell r="C15">
            <v>169224</v>
          </cell>
          <cell r="D15" t="str">
            <v>S03P002</v>
          </cell>
        </row>
        <row r="16">
          <cell r="C16">
            <v>504289</v>
          </cell>
          <cell r="D16" t="str">
            <v>S03P003</v>
          </cell>
        </row>
        <row r="17">
          <cell r="C17">
            <v>316210</v>
          </cell>
          <cell r="D17" t="str">
            <v>S03P004</v>
          </cell>
        </row>
        <row r="18">
          <cell r="C18">
            <v>218712</v>
          </cell>
          <cell r="D18" t="str">
            <v>S03P005</v>
          </cell>
        </row>
        <row r="19">
          <cell r="C19">
            <v>80742</v>
          </cell>
          <cell r="D19" t="str">
            <v>S03P006</v>
          </cell>
        </row>
        <row r="20">
          <cell r="C20">
            <v>473548</v>
          </cell>
          <cell r="D20" t="str">
            <v>S04P001</v>
          </cell>
        </row>
        <row r="21">
          <cell r="C21">
            <v>207475</v>
          </cell>
          <cell r="D21" t="str">
            <v>S04P002</v>
          </cell>
        </row>
        <row r="22">
          <cell r="C22">
            <v>533416</v>
          </cell>
          <cell r="D22" t="str">
            <v>S04P003</v>
          </cell>
        </row>
        <row r="23">
          <cell r="C23">
            <v>338604</v>
          </cell>
          <cell r="D23" t="str">
            <v>S04P004</v>
          </cell>
        </row>
        <row r="24">
          <cell r="C24">
            <v>239391</v>
          </cell>
          <cell r="D24" t="str">
            <v>S04P005</v>
          </cell>
        </row>
        <row r="25">
          <cell r="C25">
            <v>121595</v>
          </cell>
          <cell r="D25" t="str">
            <v>S04P006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1"/>
  <sheetViews>
    <sheetView tabSelected="1" workbookViewId="0"/>
  </sheetViews>
  <sheetFormatPr defaultRowHeight="15" x14ac:dyDescent="0.25"/>
  <cols>
    <col min="1" max="1" width="12.28515625" style="7" bestFit="1" customWidth="1"/>
    <col min="5" max="5" width="13.5703125" bestFit="1" customWidth="1"/>
    <col min="6" max="6" width="20.85546875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5" t="s">
        <v>322</v>
      </c>
      <c r="F1" s="5" t="s">
        <v>323</v>
      </c>
    </row>
    <row r="2" spans="1:6" x14ac:dyDescent="0.25">
      <c r="A2" s="7">
        <v>45842</v>
      </c>
      <c r="B2" t="s">
        <v>64</v>
      </c>
      <c r="C2" t="s">
        <v>68</v>
      </c>
      <c r="D2">
        <v>4</v>
      </c>
      <c r="E2" s="4">
        <f>_xll.XLOOKUP(B2&amp;C2,[1]PriceList!$D:$D,[1]PriceList!$C:$C,0)</f>
        <v>169224</v>
      </c>
      <c r="F2" s="4">
        <f>D2*E2</f>
        <v>676896</v>
      </c>
    </row>
    <row r="3" spans="1:6" x14ac:dyDescent="0.25">
      <c r="A3" s="7">
        <v>45892</v>
      </c>
      <c r="B3" t="s">
        <v>65</v>
      </c>
      <c r="C3" t="s">
        <v>69</v>
      </c>
      <c r="D3">
        <v>2</v>
      </c>
      <c r="E3" s="4">
        <f>_xll.XLOOKUP(B3&amp;C3,[1]PriceList!$D:$D,[1]PriceList!$C:$C,0)</f>
        <v>532597</v>
      </c>
      <c r="F3" s="4">
        <f t="shared" ref="F3:F8" si="0">D3*E3</f>
        <v>1065194</v>
      </c>
    </row>
    <row r="4" spans="1:6" x14ac:dyDescent="0.25">
      <c r="A4" s="7">
        <v>45859</v>
      </c>
      <c r="B4" t="s">
        <v>66</v>
      </c>
      <c r="C4" t="s">
        <v>69</v>
      </c>
      <c r="D4">
        <v>5</v>
      </c>
      <c r="E4" s="4">
        <f>_xll.XLOOKUP(B4&amp;C4,[1]PriceList!$D:$D,[1]PriceList!$C:$C,0)</f>
        <v>524199</v>
      </c>
      <c r="F4" s="4">
        <f t="shared" si="0"/>
        <v>2620995</v>
      </c>
    </row>
    <row r="5" spans="1:6" x14ac:dyDescent="0.25">
      <c r="A5" s="7">
        <v>45852</v>
      </c>
      <c r="B5" t="s">
        <v>67</v>
      </c>
      <c r="C5" t="s">
        <v>70</v>
      </c>
      <c r="D5">
        <v>4</v>
      </c>
      <c r="E5" s="4">
        <f>_xll.XLOOKUP(B5&amp;C5,[1]PriceList!$D:$D,[1]PriceList!$C:$C,0)</f>
        <v>338604</v>
      </c>
      <c r="F5" s="4">
        <f t="shared" si="0"/>
        <v>1354416</v>
      </c>
    </row>
    <row r="6" spans="1:6" x14ac:dyDescent="0.25">
      <c r="A6" s="7">
        <v>45899</v>
      </c>
      <c r="B6" t="s">
        <v>65</v>
      </c>
      <c r="C6" t="s">
        <v>71</v>
      </c>
      <c r="D6">
        <v>1</v>
      </c>
      <c r="E6" s="4">
        <f>_xll.XLOOKUP(B6&amp;C6,[1]PriceList!$D:$D,[1]PriceList!$C:$C,0)</f>
        <v>86241</v>
      </c>
      <c r="F6" s="4">
        <f t="shared" si="0"/>
        <v>86241</v>
      </c>
    </row>
    <row r="7" spans="1:6" x14ac:dyDescent="0.25">
      <c r="A7" s="7">
        <v>45867</v>
      </c>
      <c r="B7" t="s">
        <v>64</v>
      </c>
      <c r="C7" t="s">
        <v>68</v>
      </c>
      <c r="D7">
        <v>5</v>
      </c>
      <c r="E7" s="4">
        <f>_xll.XLOOKUP(B7&amp;C7,[1]PriceList!$D:$D,[1]PriceList!$C:$C,0)</f>
        <v>169224</v>
      </c>
      <c r="F7" s="4">
        <f t="shared" si="0"/>
        <v>846120</v>
      </c>
    </row>
    <row r="8" spans="1:6" x14ac:dyDescent="0.25">
      <c r="A8" s="7">
        <v>45841</v>
      </c>
      <c r="B8" t="s">
        <v>66</v>
      </c>
      <c r="C8" t="s">
        <v>69</v>
      </c>
      <c r="D8">
        <v>5</v>
      </c>
      <c r="E8" s="4">
        <f>_xll.XLOOKUP(B8&amp;C8,[1]PriceList!$D:$D,[1]PriceList!$C:$C,0)</f>
        <v>524199</v>
      </c>
      <c r="F8" s="4">
        <f t="shared" si="0"/>
        <v>2620995</v>
      </c>
    </row>
    <row r="9" spans="1:6" x14ac:dyDescent="0.25">
      <c r="A9" s="7">
        <v>45840</v>
      </c>
      <c r="B9" t="s">
        <v>65</v>
      </c>
      <c r="C9" t="s">
        <v>72</v>
      </c>
      <c r="D9">
        <v>3</v>
      </c>
      <c r="E9" s="4">
        <f>_xll.XLOOKUP(B9&amp;C9,[1]PriceList!$D:$D,[1]PriceList!$C:$C,0)</f>
        <v>434372</v>
      </c>
      <c r="F9" s="4">
        <f t="shared" ref="F9:F72" si="1">D9*E9</f>
        <v>1303116</v>
      </c>
    </row>
    <row r="10" spans="1:6" x14ac:dyDescent="0.25">
      <c r="A10" s="7">
        <v>45873</v>
      </c>
      <c r="B10" t="s">
        <v>67</v>
      </c>
      <c r="C10" t="s">
        <v>72</v>
      </c>
      <c r="D10">
        <v>1</v>
      </c>
      <c r="E10" s="4">
        <f>_xll.XLOOKUP(B10&amp;C10,[1]PriceList!$D:$D,[1]PriceList!$C:$C,0)</f>
        <v>473548</v>
      </c>
      <c r="F10" s="4">
        <f t="shared" si="1"/>
        <v>473548</v>
      </c>
    </row>
    <row r="11" spans="1:6" x14ac:dyDescent="0.25">
      <c r="A11" s="7">
        <v>45898</v>
      </c>
      <c r="B11" t="s">
        <v>66</v>
      </c>
      <c r="C11" t="s">
        <v>69</v>
      </c>
      <c r="D11">
        <v>2</v>
      </c>
      <c r="E11" s="4">
        <f>_xll.XLOOKUP(B11&amp;C11,[1]PriceList!$D:$D,[1]PriceList!$C:$C,0)</f>
        <v>524199</v>
      </c>
      <c r="F11" s="4">
        <f t="shared" si="1"/>
        <v>1048398</v>
      </c>
    </row>
    <row r="12" spans="1:6" x14ac:dyDescent="0.25">
      <c r="A12" s="7">
        <v>45884</v>
      </c>
      <c r="B12" t="s">
        <v>66</v>
      </c>
      <c r="C12" t="s">
        <v>71</v>
      </c>
      <c r="D12">
        <v>1</v>
      </c>
      <c r="E12" s="4">
        <f>_xll.XLOOKUP(B12&amp;C12,[1]PriceList!$D:$D,[1]PriceList!$C:$C,0)</f>
        <v>110059</v>
      </c>
      <c r="F12" s="4">
        <f t="shared" si="1"/>
        <v>110059</v>
      </c>
    </row>
    <row r="13" spans="1:6" x14ac:dyDescent="0.25">
      <c r="A13" s="7">
        <v>45859</v>
      </c>
      <c r="B13" t="s">
        <v>67</v>
      </c>
      <c r="C13" t="s">
        <v>68</v>
      </c>
      <c r="D13">
        <v>2</v>
      </c>
      <c r="E13" s="4">
        <f>_xll.XLOOKUP(B13&amp;C13,[1]PriceList!$D:$D,[1]PriceList!$C:$C,0)</f>
        <v>207475</v>
      </c>
      <c r="F13" s="4">
        <f t="shared" si="1"/>
        <v>414950</v>
      </c>
    </row>
    <row r="14" spans="1:6" x14ac:dyDescent="0.25">
      <c r="A14" s="7">
        <v>45840</v>
      </c>
      <c r="B14" t="s">
        <v>65</v>
      </c>
      <c r="C14" t="s">
        <v>73</v>
      </c>
      <c r="D14">
        <v>2</v>
      </c>
      <c r="E14" s="4">
        <f>_xll.XLOOKUP(B14&amp;C14,[1]PriceList!$D:$D,[1]PriceList!$C:$C,0)</f>
        <v>232909</v>
      </c>
      <c r="F14" s="4">
        <f t="shared" si="1"/>
        <v>465818</v>
      </c>
    </row>
    <row r="15" spans="1:6" x14ac:dyDescent="0.25">
      <c r="A15" s="7">
        <v>45883</v>
      </c>
      <c r="B15" t="s">
        <v>66</v>
      </c>
      <c r="C15" t="s">
        <v>73</v>
      </c>
      <c r="D15">
        <v>5</v>
      </c>
      <c r="E15" s="4">
        <f>_xll.XLOOKUP(B15&amp;C15,[1]PriceList!$D:$D,[1]PriceList!$C:$C,0)</f>
        <v>218017</v>
      </c>
      <c r="F15" s="4">
        <f t="shared" si="1"/>
        <v>1090085</v>
      </c>
    </row>
    <row r="16" spans="1:6" x14ac:dyDescent="0.25">
      <c r="A16" s="7">
        <v>45841</v>
      </c>
      <c r="B16" t="s">
        <v>65</v>
      </c>
      <c r="C16" t="s">
        <v>73</v>
      </c>
      <c r="D16">
        <v>3</v>
      </c>
      <c r="E16" s="4">
        <f>_xll.XLOOKUP(B16&amp;C16,[1]PriceList!$D:$D,[1]PriceList!$C:$C,0)</f>
        <v>232909</v>
      </c>
      <c r="F16" s="4">
        <f t="shared" si="1"/>
        <v>698727</v>
      </c>
    </row>
    <row r="17" spans="1:6" x14ac:dyDescent="0.25">
      <c r="A17" s="7">
        <v>45879</v>
      </c>
      <c r="B17" t="s">
        <v>66</v>
      </c>
      <c r="C17" t="s">
        <v>69</v>
      </c>
      <c r="D17">
        <v>4</v>
      </c>
      <c r="E17" s="4">
        <f>_xll.XLOOKUP(B17&amp;C17,[1]PriceList!$D:$D,[1]PriceList!$C:$C,0)</f>
        <v>524199</v>
      </c>
      <c r="F17" s="4">
        <f t="shared" si="1"/>
        <v>2096796</v>
      </c>
    </row>
    <row r="18" spans="1:6" x14ac:dyDescent="0.25">
      <c r="A18" s="7">
        <v>45841</v>
      </c>
      <c r="B18" t="s">
        <v>65</v>
      </c>
      <c r="C18" t="s">
        <v>73</v>
      </c>
      <c r="D18">
        <v>1</v>
      </c>
      <c r="E18" s="4">
        <f>_xll.XLOOKUP(B18&amp;C18,[1]PriceList!$D:$D,[1]PriceList!$C:$C,0)</f>
        <v>232909</v>
      </c>
      <c r="F18" s="4">
        <f t="shared" si="1"/>
        <v>232909</v>
      </c>
    </row>
    <row r="19" spans="1:6" x14ac:dyDescent="0.25">
      <c r="A19" s="7">
        <v>45900</v>
      </c>
      <c r="B19" t="s">
        <v>65</v>
      </c>
      <c r="C19" t="s">
        <v>71</v>
      </c>
      <c r="D19">
        <v>4</v>
      </c>
      <c r="E19" s="4">
        <f>_xll.XLOOKUP(B19&amp;C19,[1]PriceList!$D:$D,[1]PriceList!$C:$C,0)</f>
        <v>86241</v>
      </c>
      <c r="F19" s="4">
        <f t="shared" si="1"/>
        <v>344964</v>
      </c>
    </row>
    <row r="20" spans="1:6" x14ac:dyDescent="0.25">
      <c r="A20" s="7">
        <v>45842</v>
      </c>
      <c r="B20" t="s">
        <v>65</v>
      </c>
      <c r="C20" t="s">
        <v>72</v>
      </c>
      <c r="D20">
        <v>2</v>
      </c>
      <c r="E20" s="4">
        <f>_xll.XLOOKUP(B20&amp;C20,[1]PriceList!$D:$D,[1]PriceList!$C:$C,0)</f>
        <v>434372</v>
      </c>
      <c r="F20" s="4">
        <f t="shared" si="1"/>
        <v>868744</v>
      </c>
    </row>
    <row r="21" spans="1:6" x14ac:dyDescent="0.25">
      <c r="A21" s="7">
        <v>45870</v>
      </c>
      <c r="B21" t="s">
        <v>66</v>
      </c>
      <c r="C21" t="s">
        <v>73</v>
      </c>
      <c r="D21">
        <v>5</v>
      </c>
      <c r="E21" s="4">
        <f>_xll.XLOOKUP(B21&amp;C21,[1]PriceList!$D:$D,[1]PriceList!$C:$C,0)</f>
        <v>218017</v>
      </c>
      <c r="F21" s="4">
        <f t="shared" si="1"/>
        <v>1090085</v>
      </c>
    </row>
    <row r="22" spans="1:6" x14ac:dyDescent="0.25">
      <c r="A22" s="7">
        <v>45894</v>
      </c>
      <c r="B22" t="s">
        <v>65</v>
      </c>
      <c r="C22" t="s">
        <v>73</v>
      </c>
      <c r="D22">
        <v>5</v>
      </c>
      <c r="E22" s="4">
        <f>_xll.XLOOKUP(B22&amp;C22,[1]PriceList!$D:$D,[1]PriceList!$C:$C,0)</f>
        <v>232909</v>
      </c>
      <c r="F22" s="4">
        <f t="shared" si="1"/>
        <v>1164545</v>
      </c>
    </row>
    <row r="23" spans="1:6" x14ac:dyDescent="0.25">
      <c r="A23" s="7">
        <v>45877</v>
      </c>
      <c r="B23" t="s">
        <v>66</v>
      </c>
      <c r="C23" t="s">
        <v>73</v>
      </c>
      <c r="D23">
        <v>1</v>
      </c>
      <c r="E23" s="4">
        <f>_xll.XLOOKUP(B23&amp;C23,[1]PriceList!$D:$D,[1]PriceList!$C:$C,0)</f>
        <v>218017</v>
      </c>
      <c r="F23" s="4">
        <f t="shared" si="1"/>
        <v>218017</v>
      </c>
    </row>
    <row r="24" spans="1:6" x14ac:dyDescent="0.25">
      <c r="A24" s="7">
        <v>45861</v>
      </c>
      <c r="B24" t="s">
        <v>67</v>
      </c>
      <c r="C24" t="s">
        <v>74</v>
      </c>
      <c r="D24">
        <v>3</v>
      </c>
      <c r="E24" s="4">
        <f>_xll.XLOOKUP(B24&amp;C24,[1]PriceList!$D:$D,[1]PriceList!$C:$C,0)</f>
        <v>0</v>
      </c>
      <c r="F24" s="4">
        <f t="shared" si="1"/>
        <v>0</v>
      </c>
    </row>
    <row r="25" spans="1:6" x14ac:dyDescent="0.25">
      <c r="A25" s="7">
        <v>45841</v>
      </c>
      <c r="B25" t="s">
        <v>67</v>
      </c>
      <c r="C25" t="s">
        <v>73</v>
      </c>
      <c r="D25">
        <v>4</v>
      </c>
      <c r="E25" s="4">
        <f>_xll.XLOOKUP(B25&amp;C25,[1]PriceList!$D:$D,[1]PriceList!$C:$C,0)</f>
        <v>239391</v>
      </c>
      <c r="F25" s="4">
        <f t="shared" si="1"/>
        <v>957564</v>
      </c>
    </row>
    <row r="26" spans="1:6" x14ac:dyDescent="0.25">
      <c r="A26" s="7">
        <v>45842</v>
      </c>
      <c r="B26" t="s">
        <v>65</v>
      </c>
      <c r="C26" t="s">
        <v>71</v>
      </c>
      <c r="D26">
        <v>2</v>
      </c>
      <c r="E26" s="4">
        <f>_xll.XLOOKUP(B26&amp;C26,[1]PriceList!$D:$D,[1]PriceList!$C:$C,0)</f>
        <v>86241</v>
      </c>
      <c r="F26" s="4">
        <f t="shared" si="1"/>
        <v>172482</v>
      </c>
    </row>
    <row r="27" spans="1:6" x14ac:dyDescent="0.25">
      <c r="A27" s="7">
        <v>45856</v>
      </c>
      <c r="B27" t="s">
        <v>67</v>
      </c>
      <c r="C27" t="s">
        <v>72</v>
      </c>
      <c r="D27">
        <v>4</v>
      </c>
      <c r="E27" s="4">
        <f>_xll.XLOOKUP(B27&amp;C27,[1]PriceList!$D:$D,[1]PriceList!$C:$C,0)</f>
        <v>473548</v>
      </c>
      <c r="F27" s="4">
        <f t="shared" si="1"/>
        <v>1894192</v>
      </c>
    </row>
    <row r="28" spans="1:6" x14ac:dyDescent="0.25">
      <c r="A28" s="7">
        <v>45843</v>
      </c>
      <c r="B28" t="s">
        <v>65</v>
      </c>
      <c r="C28" t="s">
        <v>70</v>
      </c>
      <c r="D28">
        <v>2</v>
      </c>
      <c r="E28" s="4">
        <f>_xll.XLOOKUP(B28&amp;C28,[1]PriceList!$D:$D,[1]PriceList!$C:$C,0)</f>
        <v>302904</v>
      </c>
      <c r="F28" s="4">
        <f t="shared" si="1"/>
        <v>605808</v>
      </c>
    </row>
    <row r="29" spans="1:6" x14ac:dyDescent="0.25">
      <c r="A29" s="7">
        <v>45877</v>
      </c>
      <c r="B29" t="s">
        <v>64</v>
      </c>
      <c r="C29" t="s">
        <v>70</v>
      </c>
      <c r="D29">
        <v>3</v>
      </c>
      <c r="E29" s="4">
        <f>_xll.XLOOKUP(B29&amp;C29,[1]PriceList!$D:$D,[1]PriceList!$C:$C,0)</f>
        <v>316210</v>
      </c>
      <c r="F29" s="4">
        <f t="shared" si="1"/>
        <v>948630</v>
      </c>
    </row>
    <row r="30" spans="1:6" x14ac:dyDescent="0.25">
      <c r="A30" s="7">
        <v>45874</v>
      </c>
      <c r="B30" t="s">
        <v>65</v>
      </c>
      <c r="C30" t="s">
        <v>70</v>
      </c>
      <c r="D30">
        <v>3</v>
      </c>
      <c r="E30" s="4">
        <f>_xll.XLOOKUP(B30&amp;C30,[1]PriceList!$D:$D,[1]PriceList!$C:$C,0)</f>
        <v>302904</v>
      </c>
      <c r="F30" s="4">
        <f t="shared" si="1"/>
        <v>908712</v>
      </c>
    </row>
    <row r="31" spans="1:6" x14ac:dyDescent="0.25">
      <c r="A31" s="7">
        <v>45853</v>
      </c>
      <c r="B31" t="s">
        <v>67</v>
      </c>
      <c r="C31" t="s">
        <v>74</v>
      </c>
      <c r="D31">
        <v>5</v>
      </c>
      <c r="E31" s="4">
        <f>_xll.XLOOKUP(B31&amp;C31,[1]PriceList!$D:$D,[1]PriceList!$C:$C,0)</f>
        <v>0</v>
      </c>
      <c r="F31" s="4">
        <f t="shared" si="1"/>
        <v>0</v>
      </c>
    </row>
    <row r="32" spans="1:6" x14ac:dyDescent="0.25">
      <c r="A32" s="7">
        <v>45892</v>
      </c>
      <c r="B32" t="s">
        <v>66</v>
      </c>
      <c r="C32" t="s">
        <v>68</v>
      </c>
      <c r="D32">
        <v>4</v>
      </c>
      <c r="E32" s="4">
        <f>_xll.XLOOKUP(B32&amp;C32,[1]PriceList!$D:$D,[1]PriceList!$C:$C,0)</f>
        <v>200061</v>
      </c>
      <c r="F32" s="4">
        <f t="shared" si="1"/>
        <v>800244</v>
      </c>
    </row>
    <row r="33" spans="1:6" x14ac:dyDescent="0.25">
      <c r="A33" s="7">
        <v>45878</v>
      </c>
      <c r="B33" t="s">
        <v>66</v>
      </c>
      <c r="C33" t="s">
        <v>74</v>
      </c>
      <c r="D33">
        <v>2</v>
      </c>
      <c r="E33" s="4">
        <f>_xll.XLOOKUP(B33&amp;C33,[1]PriceList!$D:$D,[1]PriceList!$C:$C,0)</f>
        <v>0</v>
      </c>
      <c r="F33" s="4">
        <f t="shared" si="1"/>
        <v>0</v>
      </c>
    </row>
    <row r="34" spans="1:6" x14ac:dyDescent="0.25">
      <c r="A34" s="7">
        <v>45887</v>
      </c>
      <c r="B34" t="s">
        <v>65</v>
      </c>
      <c r="C34" t="s">
        <v>72</v>
      </c>
      <c r="D34">
        <v>5</v>
      </c>
      <c r="E34" s="4">
        <f>_xll.XLOOKUP(B34&amp;C34,[1]PriceList!$D:$D,[1]PriceList!$C:$C,0)</f>
        <v>434372</v>
      </c>
      <c r="F34" s="4">
        <f t="shared" si="1"/>
        <v>2171860</v>
      </c>
    </row>
    <row r="35" spans="1:6" x14ac:dyDescent="0.25">
      <c r="A35" s="7">
        <v>45887</v>
      </c>
      <c r="B35" t="s">
        <v>66</v>
      </c>
      <c r="C35" t="s">
        <v>69</v>
      </c>
      <c r="D35">
        <v>2</v>
      </c>
      <c r="E35" s="4">
        <f>_xll.XLOOKUP(B35&amp;C35,[1]PriceList!$D:$D,[1]PriceList!$C:$C,0)</f>
        <v>524199</v>
      </c>
      <c r="F35" s="4">
        <f t="shared" si="1"/>
        <v>1048398</v>
      </c>
    </row>
    <row r="36" spans="1:6" x14ac:dyDescent="0.25">
      <c r="A36" s="7">
        <v>45885</v>
      </c>
      <c r="C36" t="s">
        <v>69</v>
      </c>
      <c r="D36">
        <v>3</v>
      </c>
      <c r="E36" s="4">
        <f>_xll.XLOOKUP(B36&amp;C36,[1]PriceList!$D:$D,[1]PriceList!$C:$C,0)</f>
        <v>0</v>
      </c>
      <c r="F36" s="4">
        <f t="shared" si="1"/>
        <v>0</v>
      </c>
    </row>
    <row r="37" spans="1:6" x14ac:dyDescent="0.25">
      <c r="A37" s="7">
        <v>45843</v>
      </c>
      <c r="B37" t="s">
        <v>65</v>
      </c>
      <c r="C37" t="s">
        <v>74</v>
      </c>
      <c r="D37">
        <v>1</v>
      </c>
      <c r="E37" s="4">
        <f>_xll.XLOOKUP(B37&amp;C37,[1]PriceList!$D:$D,[1]PriceList!$C:$C,0)</f>
        <v>0</v>
      </c>
      <c r="F37" s="4">
        <f t="shared" si="1"/>
        <v>0</v>
      </c>
    </row>
    <row r="38" spans="1:6" x14ac:dyDescent="0.25">
      <c r="A38" s="7">
        <v>45854</v>
      </c>
      <c r="B38" t="s">
        <v>66</v>
      </c>
      <c r="C38" t="s">
        <v>74</v>
      </c>
      <c r="D38">
        <v>2</v>
      </c>
      <c r="E38" s="4">
        <f>_xll.XLOOKUP(B38&amp;C38,[1]PriceList!$D:$D,[1]PriceList!$C:$C,0)</f>
        <v>0</v>
      </c>
      <c r="F38" s="4">
        <f t="shared" si="1"/>
        <v>0</v>
      </c>
    </row>
    <row r="39" spans="1:6" x14ac:dyDescent="0.25">
      <c r="A39" s="7">
        <v>45878</v>
      </c>
      <c r="B39" t="s">
        <v>67</v>
      </c>
      <c r="C39" t="s">
        <v>70</v>
      </c>
      <c r="D39">
        <v>1</v>
      </c>
      <c r="E39" s="4">
        <f>_xll.XLOOKUP(B39&amp;C39,[1]PriceList!$D:$D,[1]PriceList!$C:$C,0)</f>
        <v>338604</v>
      </c>
      <c r="F39" s="4">
        <f t="shared" si="1"/>
        <v>338604</v>
      </c>
    </row>
    <row r="40" spans="1:6" x14ac:dyDescent="0.25">
      <c r="A40" s="7">
        <v>45865</v>
      </c>
      <c r="B40" t="s">
        <v>64</v>
      </c>
      <c r="C40" t="s">
        <v>72</v>
      </c>
      <c r="D40">
        <v>5</v>
      </c>
      <c r="E40" s="4">
        <f>_xll.XLOOKUP(B40&amp;C40,[1]PriceList!$D:$D,[1]PriceList!$C:$C,0)</f>
        <v>468002</v>
      </c>
      <c r="F40" s="4">
        <f t="shared" si="1"/>
        <v>2340010</v>
      </c>
    </row>
    <row r="41" spans="1:6" x14ac:dyDescent="0.25">
      <c r="A41" s="7">
        <v>45850</v>
      </c>
      <c r="B41" t="s">
        <v>66</v>
      </c>
      <c r="C41" t="s">
        <v>73</v>
      </c>
      <c r="D41">
        <v>1</v>
      </c>
      <c r="E41" s="4">
        <f>_xll.XLOOKUP(B41&amp;C41,[1]PriceList!$D:$D,[1]PriceList!$C:$C,0)</f>
        <v>218017</v>
      </c>
      <c r="F41" s="4">
        <f t="shared" si="1"/>
        <v>218017</v>
      </c>
    </row>
    <row r="42" spans="1:6" x14ac:dyDescent="0.25">
      <c r="A42" s="7">
        <v>45896</v>
      </c>
      <c r="B42" t="s">
        <v>66</v>
      </c>
      <c r="C42" t="s">
        <v>69</v>
      </c>
      <c r="D42">
        <v>1</v>
      </c>
      <c r="E42" s="4">
        <f>_xll.XLOOKUP(B42&amp;C42,[1]PriceList!$D:$D,[1]PriceList!$C:$C,0)</f>
        <v>524199</v>
      </c>
      <c r="F42" s="4">
        <f t="shared" si="1"/>
        <v>524199</v>
      </c>
    </row>
    <row r="43" spans="1:6" x14ac:dyDescent="0.25">
      <c r="A43" s="7">
        <v>45847</v>
      </c>
      <c r="C43" t="s">
        <v>73</v>
      </c>
      <c r="D43">
        <v>1</v>
      </c>
      <c r="E43" s="4">
        <f>_xll.XLOOKUP(B43&amp;C43,[1]PriceList!$D:$D,[1]PriceList!$C:$C,0)</f>
        <v>0</v>
      </c>
      <c r="F43" s="4">
        <f t="shared" si="1"/>
        <v>0</v>
      </c>
    </row>
    <row r="44" spans="1:6" x14ac:dyDescent="0.25">
      <c r="A44" s="7">
        <v>45861</v>
      </c>
      <c r="B44" t="s">
        <v>67</v>
      </c>
      <c r="C44" t="s">
        <v>74</v>
      </c>
      <c r="D44">
        <v>4</v>
      </c>
      <c r="E44" s="4">
        <f>_xll.XLOOKUP(B44&amp;C44,[1]PriceList!$D:$D,[1]PriceList!$C:$C,0)</f>
        <v>0</v>
      </c>
      <c r="F44" s="4">
        <f t="shared" si="1"/>
        <v>0</v>
      </c>
    </row>
    <row r="45" spans="1:6" x14ac:dyDescent="0.25">
      <c r="A45" s="7">
        <v>45846</v>
      </c>
      <c r="B45" t="s">
        <v>67</v>
      </c>
      <c r="C45" t="s">
        <v>71</v>
      </c>
      <c r="D45">
        <v>1</v>
      </c>
      <c r="E45" s="4">
        <f>_xll.XLOOKUP(B45&amp;C45,[1]PriceList!$D:$D,[1]PriceList!$C:$C,0)</f>
        <v>121595</v>
      </c>
      <c r="F45" s="4">
        <f t="shared" si="1"/>
        <v>121595</v>
      </c>
    </row>
    <row r="46" spans="1:6" x14ac:dyDescent="0.25">
      <c r="A46" s="7">
        <v>45881</v>
      </c>
      <c r="B46" t="s">
        <v>65</v>
      </c>
      <c r="C46" t="s">
        <v>71</v>
      </c>
      <c r="D46">
        <v>3</v>
      </c>
      <c r="E46" s="4">
        <f>_xll.XLOOKUP(B46&amp;C46,[1]PriceList!$D:$D,[1]PriceList!$C:$C,0)</f>
        <v>86241</v>
      </c>
      <c r="F46" s="4">
        <f t="shared" si="1"/>
        <v>258723</v>
      </c>
    </row>
    <row r="47" spans="1:6" x14ac:dyDescent="0.25">
      <c r="A47" s="7">
        <v>45897</v>
      </c>
      <c r="C47" t="s">
        <v>68</v>
      </c>
      <c r="D47">
        <v>1</v>
      </c>
      <c r="E47" s="4">
        <f>_xll.XLOOKUP(B47&amp;C47,[1]PriceList!$D:$D,[1]PriceList!$C:$C,0)</f>
        <v>0</v>
      </c>
      <c r="F47" s="4">
        <f t="shared" si="1"/>
        <v>0</v>
      </c>
    </row>
    <row r="48" spans="1:6" x14ac:dyDescent="0.25">
      <c r="A48" s="7">
        <v>45886</v>
      </c>
      <c r="B48" t="s">
        <v>64</v>
      </c>
      <c r="C48" t="s">
        <v>73</v>
      </c>
      <c r="D48">
        <v>5</v>
      </c>
      <c r="E48" s="4">
        <f>_xll.XLOOKUP(B48&amp;C48,[1]PriceList!$D:$D,[1]PriceList!$C:$C,0)</f>
        <v>218712</v>
      </c>
      <c r="F48" s="4">
        <f t="shared" si="1"/>
        <v>1093560</v>
      </c>
    </row>
    <row r="49" spans="1:6" x14ac:dyDescent="0.25">
      <c r="A49" s="7">
        <v>45844</v>
      </c>
      <c r="B49" t="s">
        <v>66</v>
      </c>
      <c r="C49" t="s">
        <v>72</v>
      </c>
      <c r="D49">
        <v>4</v>
      </c>
      <c r="E49" s="4">
        <f>_xll.XLOOKUP(B49&amp;C49,[1]PriceList!$D:$D,[1]PriceList!$C:$C,0)</f>
        <v>442673</v>
      </c>
      <c r="F49" s="4">
        <f t="shared" si="1"/>
        <v>1770692</v>
      </c>
    </row>
    <row r="50" spans="1:6" x14ac:dyDescent="0.25">
      <c r="A50" s="7">
        <v>45876</v>
      </c>
      <c r="B50" t="s">
        <v>64</v>
      </c>
      <c r="C50" t="s">
        <v>68</v>
      </c>
      <c r="D50">
        <v>4</v>
      </c>
      <c r="E50" s="4">
        <f>_xll.XLOOKUP(B50&amp;C50,[1]PriceList!$D:$D,[1]PriceList!$C:$C,0)</f>
        <v>169224</v>
      </c>
      <c r="F50" s="4">
        <f t="shared" si="1"/>
        <v>676896</v>
      </c>
    </row>
    <row r="51" spans="1:6" x14ac:dyDescent="0.25">
      <c r="A51" s="7">
        <v>45860</v>
      </c>
      <c r="B51" t="s">
        <v>67</v>
      </c>
      <c r="C51" t="s">
        <v>71</v>
      </c>
      <c r="D51">
        <v>5</v>
      </c>
      <c r="E51" s="4">
        <f>_xll.XLOOKUP(B51&amp;C51,[1]PriceList!$D:$D,[1]PriceList!$C:$C,0)</f>
        <v>121595</v>
      </c>
      <c r="F51" s="4">
        <f t="shared" si="1"/>
        <v>607975</v>
      </c>
    </row>
    <row r="52" spans="1:6" x14ac:dyDescent="0.25">
      <c r="A52" s="7">
        <v>45849</v>
      </c>
      <c r="B52" t="s">
        <v>67</v>
      </c>
      <c r="C52" t="s">
        <v>69</v>
      </c>
      <c r="D52">
        <v>1</v>
      </c>
      <c r="E52" s="4">
        <f>_xll.XLOOKUP(B52&amp;C52,[1]PriceList!$D:$D,[1]PriceList!$C:$C,0)</f>
        <v>533416</v>
      </c>
      <c r="F52" s="4">
        <f t="shared" si="1"/>
        <v>533416</v>
      </c>
    </row>
    <row r="53" spans="1:6" x14ac:dyDescent="0.25">
      <c r="A53" s="7">
        <v>45856</v>
      </c>
      <c r="B53" t="s">
        <v>67</v>
      </c>
      <c r="C53" t="s">
        <v>73</v>
      </c>
      <c r="D53">
        <v>5</v>
      </c>
      <c r="E53" s="4">
        <f>_xll.XLOOKUP(B53&amp;C53,[1]PriceList!$D:$D,[1]PriceList!$C:$C,0)</f>
        <v>239391</v>
      </c>
      <c r="F53" s="4">
        <f t="shared" si="1"/>
        <v>1196955</v>
      </c>
    </row>
    <row r="54" spans="1:6" x14ac:dyDescent="0.25">
      <c r="A54" s="7">
        <v>45895</v>
      </c>
      <c r="B54" t="s">
        <v>64</v>
      </c>
      <c r="C54" t="s">
        <v>70</v>
      </c>
      <c r="D54">
        <v>3</v>
      </c>
      <c r="E54" s="4">
        <f>_xll.XLOOKUP(B54&amp;C54,[1]PriceList!$D:$D,[1]PriceList!$C:$C,0)</f>
        <v>316210</v>
      </c>
      <c r="F54" s="4">
        <f t="shared" si="1"/>
        <v>948630</v>
      </c>
    </row>
    <row r="55" spans="1:6" x14ac:dyDescent="0.25">
      <c r="A55" s="7">
        <v>45890</v>
      </c>
      <c r="C55" t="s">
        <v>72</v>
      </c>
      <c r="D55">
        <v>3</v>
      </c>
      <c r="E55" s="4">
        <f>_xll.XLOOKUP(B55&amp;C55,[1]PriceList!$D:$D,[1]PriceList!$C:$C,0)</f>
        <v>0</v>
      </c>
      <c r="F55" s="4">
        <f t="shared" si="1"/>
        <v>0</v>
      </c>
    </row>
    <row r="56" spans="1:6" x14ac:dyDescent="0.25">
      <c r="A56" s="7">
        <v>45898</v>
      </c>
      <c r="B56" t="s">
        <v>67</v>
      </c>
      <c r="C56" t="s">
        <v>73</v>
      </c>
      <c r="D56">
        <v>5</v>
      </c>
      <c r="E56" s="4">
        <f>_xll.XLOOKUP(B56&amp;C56,[1]PriceList!$D:$D,[1]PriceList!$C:$C,0)</f>
        <v>239391</v>
      </c>
      <c r="F56" s="4">
        <f t="shared" si="1"/>
        <v>1196955</v>
      </c>
    </row>
    <row r="57" spans="1:6" x14ac:dyDescent="0.25">
      <c r="A57" s="7">
        <v>45843</v>
      </c>
      <c r="B57" t="s">
        <v>65</v>
      </c>
      <c r="C57" t="s">
        <v>68</v>
      </c>
      <c r="D57">
        <v>2</v>
      </c>
      <c r="E57" s="4">
        <f>_xll.XLOOKUP(B57&amp;C57,[1]PriceList!$D:$D,[1]PriceList!$C:$C,0)</f>
        <v>170201</v>
      </c>
      <c r="F57" s="4">
        <f t="shared" si="1"/>
        <v>340402</v>
      </c>
    </row>
    <row r="58" spans="1:6" x14ac:dyDescent="0.25">
      <c r="A58" s="7">
        <v>45890</v>
      </c>
      <c r="B58" t="s">
        <v>65</v>
      </c>
      <c r="C58" t="s">
        <v>68</v>
      </c>
      <c r="D58">
        <v>3</v>
      </c>
      <c r="E58" s="4">
        <f>_xll.XLOOKUP(B58&amp;C58,[1]PriceList!$D:$D,[1]PriceList!$C:$C,0)</f>
        <v>170201</v>
      </c>
      <c r="F58" s="4">
        <f t="shared" si="1"/>
        <v>510603</v>
      </c>
    </row>
    <row r="59" spans="1:6" x14ac:dyDescent="0.25">
      <c r="A59" s="7">
        <v>45852</v>
      </c>
      <c r="B59" t="s">
        <v>66</v>
      </c>
      <c r="C59" t="s">
        <v>71</v>
      </c>
      <c r="D59">
        <v>5</v>
      </c>
      <c r="E59" s="4">
        <f>_xll.XLOOKUP(B59&amp;C59,[1]PriceList!$D:$D,[1]PriceList!$C:$C,0)</f>
        <v>110059</v>
      </c>
      <c r="F59" s="4">
        <f t="shared" si="1"/>
        <v>550295</v>
      </c>
    </row>
    <row r="60" spans="1:6" x14ac:dyDescent="0.25">
      <c r="A60" s="7">
        <v>45844</v>
      </c>
      <c r="B60" t="s">
        <v>65</v>
      </c>
      <c r="C60" t="s">
        <v>73</v>
      </c>
      <c r="D60">
        <v>5</v>
      </c>
      <c r="E60" s="4">
        <f>_xll.XLOOKUP(B60&amp;C60,[1]PriceList!$D:$D,[1]PriceList!$C:$C,0)</f>
        <v>232909</v>
      </c>
      <c r="F60" s="4">
        <f t="shared" si="1"/>
        <v>1164545</v>
      </c>
    </row>
    <row r="61" spans="1:6" x14ac:dyDescent="0.25">
      <c r="A61" s="7">
        <v>45873</v>
      </c>
      <c r="B61" t="s">
        <v>64</v>
      </c>
      <c r="C61" t="s">
        <v>69</v>
      </c>
      <c r="D61">
        <v>3</v>
      </c>
      <c r="E61" s="4">
        <f>_xll.XLOOKUP(B61&amp;C61,[1]PriceList!$D:$D,[1]PriceList!$C:$C,0)</f>
        <v>504289</v>
      </c>
      <c r="F61" s="4">
        <f t="shared" si="1"/>
        <v>1512867</v>
      </c>
    </row>
    <row r="62" spans="1:6" x14ac:dyDescent="0.25">
      <c r="A62" s="7">
        <v>45864</v>
      </c>
      <c r="B62" t="s">
        <v>67</v>
      </c>
      <c r="C62" t="s">
        <v>73</v>
      </c>
      <c r="D62">
        <v>4</v>
      </c>
      <c r="E62" s="4">
        <f>_xll.XLOOKUP(B62&amp;C62,[1]PriceList!$D:$D,[1]PriceList!$C:$C,0)</f>
        <v>239391</v>
      </c>
      <c r="F62" s="4">
        <f t="shared" si="1"/>
        <v>957564</v>
      </c>
    </row>
    <row r="63" spans="1:6" x14ac:dyDescent="0.25">
      <c r="A63" s="7">
        <v>45850</v>
      </c>
      <c r="B63" t="s">
        <v>67</v>
      </c>
      <c r="C63" t="s">
        <v>68</v>
      </c>
      <c r="D63">
        <v>1</v>
      </c>
      <c r="E63" s="4">
        <f>_xll.XLOOKUP(B63&amp;C63,[1]PriceList!$D:$D,[1]PriceList!$C:$C,0)</f>
        <v>207475</v>
      </c>
      <c r="F63" s="4">
        <f t="shared" si="1"/>
        <v>207475</v>
      </c>
    </row>
    <row r="64" spans="1:6" x14ac:dyDescent="0.25">
      <c r="A64" s="7">
        <v>45845</v>
      </c>
      <c r="B64" t="s">
        <v>65</v>
      </c>
      <c r="C64" t="s">
        <v>68</v>
      </c>
      <c r="D64">
        <v>1</v>
      </c>
      <c r="E64" s="4">
        <f>_xll.XLOOKUP(B64&amp;C64,[1]PriceList!$D:$D,[1]PriceList!$C:$C,0)</f>
        <v>170201</v>
      </c>
      <c r="F64" s="4">
        <f t="shared" si="1"/>
        <v>170201</v>
      </c>
    </row>
    <row r="65" spans="1:6" x14ac:dyDescent="0.25">
      <c r="A65" s="7">
        <v>45875</v>
      </c>
      <c r="B65" t="s">
        <v>64</v>
      </c>
      <c r="C65" t="s">
        <v>73</v>
      </c>
      <c r="D65">
        <v>3</v>
      </c>
      <c r="E65" s="4">
        <f>_xll.XLOOKUP(B65&amp;C65,[1]PriceList!$D:$D,[1]PriceList!$C:$C,0)</f>
        <v>218712</v>
      </c>
      <c r="F65" s="4">
        <f t="shared" si="1"/>
        <v>656136</v>
      </c>
    </row>
    <row r="66" spans="1:6" x14ac:dyDescent="0.25">
      <c r="A66" s="7">
        <v>45871</v>
      </c>
      <c r="B66" t="s">
        <v>64</v>
      </c>
      <c r="C66" t="s">
        <v>70</v>
      </c>
      <c r="D66">
        <v>4</v>
      </c>
      <c r="E66" s="4">
        <f>_xll.XLOOKUP(B66&amp;C66,[1]PriceList!$D:$D,[1]PriceList!$C:$C,0)</f>
        <v>316210</v>
      </c>
      <c r="F66" s="4">
        <f t="shared" si="1"/>
        <v>1264840</v>
      </c>
    </row>
    <row r="67" spans="1:6" x14ac:dyDescent="0.25">
      <c r="A67" s="7">
        <v>45850</v>
      </c>
      <c r="B67" t="s">
        <v>64</v>
      </c>
      <c r="C67" t="s">
        <v>71</v>
      </c>
      <c r="D67">
        <v>3</v>
      </c>
      <c r="E67" s="4">
        <f>_xll.XLOOKUP(B67&amp;C67,[1]PriceList!$D:$D,[1]PriceList!$C:$C,0)</f>
        <v>80742</v>
      </c>
      <c r="F67" s="4">
        <f t="shared" si="1"/>
        <v>242226</v>
      </c>
    </row>
    <row r="68" spans="1:6" x14ac:dyDescent="0.25">
      <c r="A68" s="7">
        <v>45896</v>
      </c>
      <c r="B68" t="s">
        <v>65</v>
      </c>
      <c r="C68" t="s">
        <v>68</v>
      </c>
      <c r="D68">
        <v>1</v>
      </c>
      <c r="E68" s="4">
        <f>_xll.XLOOKUP(B68&amp;C68,[1]PriceList!$D:$D,[1]PriceList!$C:$C,0)</f>
        <v>170201</v>
      </c>
      <c r="F68" s="4">
        <f t="shared" si="1"/>
        <v>170201</v>
      </c>
    </row>
    <row r="69" spans="1:6" x14ac:dyDescent="0.25">
      <c r="A69" s="7">
        <v>45898</v>
      </c>
      <c r="B69" t="s">
        <v>65</v>
      </c>
      <c r="C69" t="s">
        <v>69</v>
      </c>
      <c r="D69">
        <v>2</v>
      </c>
      <c r="E69" s="4">
        <f>_xll.XLOOKUP(B69&amp;C69,[1]PriceList!$D:$D,[1]PriceList!$C:$C,0)</f>
        <v>532597</v>
      </c>
      <c r="F69" s="4">
        <f t="shared" si="1"/>
        <v>1065194</v>
      </c>
    </row>
    <row r="70" spans="1:6" x14ac:dyDescent="0.25">
      <c r="A70" s="7">
        <v>45894</v>
      </c>
      <c r="B70" t="s">
        <v>67</v>
      </c>
      <c r="C70" t="s">
        <v>68</v>
      </c>
      <c r="D70">
        <v>2</v>
      </c>
      <c r="E70" s="4">
        <f>_xll.XLOOKUP(B70&amp;C70,[1]PriceList!$D:$D,[1]PriceList!$C:$C,0)</f>
        <v>207475</v>
      </c>
      <c r="F70" s="4">
        <f t="shared" si="1"/>
        <v>414950</v>
      </c>
    </row>
    <row r="71" spans="1:6" x14ac:dyDescent="0.25">
      <c r="A71" s="7">
        <v>45892</v>
      </c>
      <c r="B71" t="s">
        <v>65</v>
      </c>
      <c r="C71" t="s">
        <v>68</v>
      </c>
      <c r="D71">
        <v>4</v>
      </c>
      <c r="E71" s="4">
        <f>_xll.XLOOKUP(B71&amp;C71,[1]PriceList!$D:$D,[1]PriceList!$C:$C,0)</f>
        <v>170201</v>
      </c>
      <c r="F71" s="4">
        <f t="shared" si="1"/>
        <v>680804</v>
      </c>
    </row>
    <row r="72" spans="1:6" x14ac:dyDescent="0.25">
      <c r="A72" s="7">
        <v>45853</v>
      </c>
      <c r="B72" t="s">
        <v>67</v>
      </c>
      <c r="C72" t="s">
        <v>68</v>
      </c>
      <c r="D72">
        <v>3</v>
      </c>
      <c r="E72" s="4">
        <f>_xll.XLOOKUP(B72&amp;C72,[1]PriceList!$D:$D,[1]PriceList!$C:$C,0)</f>
        <v>207475</v>
      </c>
      <c r="F72" s="4">
        <f t="shared" si="1"/>
        <v>622425</v>
      </c>
    </row>
    <row r="73" spans="1:6" x14ac:dyDescent="0.25">
      <c r="A73" s="7">
        <v>45854</v>
      </c>
      <c r="B73" t="s">
        <v>66</v>
      </c>
      <c r="C73" t="s">
        <v>73</v>
      </c>
      <c r="D73">
        <v>5</v>
      </c>
      <c r="E73" s="4">
        <f>_xll.XLOOKUP(B73&amp;C73,[1]PriceList!$D:$D,[1]PriceList!$C:$C,0)</f>
        <v>218017</v>
      </c>
      <c r="F73" s="4">
        <f t="shared" ref="F73:F136" si="2">D73*E73</f>
        <v>1090085</v>
      </c>
    </row>
    <row r="74" spans="1:6" x14ac:dyDescent="0.25">
      <c r="A74" s="7">
        <v>45867</v>
      </c>
      <c r="B74" t="s">
        <v>67</v>
      </c>
      <c r="C74" t="s">
        <v>70</v>
      </c>
      <c r="D74">
        <v>4</v>
      </c>
      <c r="E74" s="4">
        <f>_xll.XLOOKUP(B74&amp;C74,[1]PriceList!$D:$D,[1]PriceList!$C:$C,0)</f>
        <v>338604</v>
      </c>
      <c r="F74" s="4">
        <f t="shared" si="2"/>
        <v>1354416</v>
      </c>
    </row>
    <row r="75" spans="1:6" x14ac:dyDescent="0.25">
      <c r="A75" s="7">
        <v>45885</v>
      </c>
      <c r="B75" t="s">
        <v>65</v>
      </c>
      <c r="C75" t="s">
        <v>71</v>
      </c>
      <c r="D75">
        <v>3</v>
      </c>
      <c r="E75" s="4">
        <f>_xll.XLOOKUP(B75&amp;C75,[1]PriceList!$D:$D,[1]PriceList!$C:$C,0)</f>
        <v>86241</v>
      </c>
      <c r="F75" s="4">
        <f t="shared" si="2"/>
        <v>258723</v>
      </c>
    </row>
    <row r="76" spans="1:6" x14ac:dyDescent="0.25">
      <c r="A76" s="7">
        <v>45867</v>
      </c>
      <c r="B76" t="s">
        <v>66</v>
      </c>
      <c r="C76" t="s">
        <v>70</v>
      </c>
      <c r="D76">
        <v>4</v>
      </c>
      <c r="E76" s="4">
        <f>_xll.XLOOKUP(B76&amp;C76,[1]PriceList!$D:$D,[1]PriceList!$C:$C,0)</f>
        <v>335496</v>
      </c>
      <c r="F76" s="4">
        <f t="shared" si="2"/>
        <v>1341984</v>
      </c>
    </row>
    <row r="77" spans="1:6" x14ac:dyDescent="0.25">
      <c r="A77" s="7">
        <v>45881</v>
      </c>
      <c r="B77" t="s">
        <v>67</v>
      </c>
      <c r="C77" t="s">
        <v>68</v>
      </c>
      <c r="D77">
        <v>3</v>
      </c>
      <c r="E77" s="4">
        <f>_xll.XLOOKUP(B77&amp;C77,[1]PriceList!$D:$D,[1]PriceList!$C:$C,0)</f>
        <v>207475</v>
      </c>
      <c r="F77" s="4">
        <f t="shared" si="2"/>
        <v>622425</v>
      </c>
    </row>
    <row r="78" spans="1:6" x14ac:dyDescent="0.25">
      <c r="A78" s="7">
        <v>45886</v>
      </c>
      <c r="B78" t="s">
        <v>67</v>
      </c>
      <c r="C78" t="s">
        <v>74</v>
      </c>
      <c r="D78">
        <v>2</v>
      </c>
      <c r="E78" s="4">
        <f>_xll.XLOOKUP(B78&amp;C78,[1]PriceList!$D:$D,[1]PriceList!$C:$C,0)</f>
        <v>0</v>
      </c>
      <c r="F78" s="4">
        <f t="shared" si="2"/>
        <v>0</v>
      </c>
    </row>
    <row r="79" spans="1:6" x14ac:dyDescent="0.25">
      <c r="A79" s="7">
        <v>45865</v>
      </c>
      <c r="B79" t="s">
        <v>67</v>
      </c>
      <c r="C79" t="s">
        <v>72</v>
      </c>
      <c r="D79">
        <v>1</v>
      </c>
      <c r="E79" s="4">
        <f>_xll.XLOOKUP(B79&amp;C79,[1]PriceList!$D:$D,[1]PriceList!$C:$C,0)</f>
        <v>473548</v>
      </c>
      <c r="F79" s="4">
        <f t="shared" si="2"/>
        <v>473548</v>
      </c>
    </row>
    <row r="80" spans="1:6" x14ac:dyDescent="0.25">
      <c r="A80" s="7">
        <v>45855</v>
      </c>
      <c r="B80" t="s">
        <v>67</v>
      </c>
      <c r="C80" t="s">
        <v>73</v>
      </c>
      <c r="D80">
        <v>2</v>
      </c>
      <c r="E80" s="4">
        <f>_xll.XLOOKUP(B80&amp;C80,[1]PriceList!$D:$D,[1]PriceList!$C:$C,0)</f>
        <v>239391</v>
      </c>
      <c r="F80" s="4">
        <f t="shared" si="2"/>
        <v>478782</v>
      </c>
    </row>
    <row r="81" spans="1:6" x14ac:dyDescent="0.25">
      <c r="A81" s="7">
        <v>45895</v>
      </c>
      <c r="B81" t="s">
        <v>64</v>
      </c>
      <c r="C81" t="s">
        <v>69</v>
      </c>
      <c r="D81">
        <v>1</v>
      </c>
      <c r="E81" s="4">
        <f>_xll.XLOOKUP(B81&amp;C81,[1]PriceList!$D:$D,[1]PriceList!$C:$C,0)</f>
        <v>504289</v>
      </c>
      <c r="F81" s="4">
        <f t="shared" si="2"/>
        <v>504289</v>
      </c>
    </row>
    <row r="82" spans="1:6" x14ac:dyDescent="0.25">
      <c r="A82" s="7">
        <v>45848</v>
      </c>
      <c r="B82" t="s">
        <v>65</v>
      </c>
      <c r="C82" t="s">
        <v>74</v>
      </c>
      <c r="D82">
        <v>4</v>
      </c>
      <c r="E82" s="4">
        <f>_xll.XLOOKUP(B82&amp;C82,[1]PriceList!$D:$D,[1]PriceList!$C:$C,0)</f>
        <v>0</v>
      </c>
      <c r="F82" s="4">
        <f t="shared" si="2"/>
        <v>0</v>
      </c>
    </row>
    <row r="83" spans="1:6" x14ac:dyDescent="0.25">
      <c r="A83" s="7">
        <v>45848</v>
      </c>
      <c r="B83" t="s">
        <v>65</v>
      </c>
      <c r="C83" t="s">
        <v>68</v>
      </c>
      <c r="D83">
        <v>1</v>
      </c>
      <c r="E83" s="4">
        <f>_xll.XLOOKUP(B83&amp;C83,[1]PriceList!$D:$D,[1]PriceList!$C:$C,0)</f>
        <v>170201</v>
      </c>
      <c r="F83" s="4">
        <f t="shared" si="2"/>
        <v>170201</v>
      </c>
    </row>
    <row r="84" spans="1:6" x14ac:dyDescent="0.25">
      <c r="A84" s="7">
        <v>45850</v>
      </c>
      <c r="B84" t="s">
        <v>67</v>
      </c>
      <c r="C84" t="s">
        <v>71</v>
      </c>
      <c r="D84">
        <v>3</v>
      </c>
      <c r="E84" s="4">
        <f>_xll.XLOOKUP(B84&amp;C84,[1]PriceList!$D:$D,[1]PriceList!$C:$C,0)</f>
        <v>121595</v>
      </c>
      <c r="F84" s="4">
        <f t="shared" si="2"/>
        <v>364785</v>
      </c>
    </row>
    <row r="85" spans="1:6" x14ac:dyDescent="0.25">
      <c r="A85" s="7">
        <v>45848</v>
      </c>
      <c r="B85" t="s">
        <v>65</v>
      </c>
      <c r="C85" t="s">
        <v>69</v>
      </c>
      <c r="D85">
        <v>5</v>
      </c>
      <c r="E85" s="4">
        <f>_xll.XLOOKUP(B85&amp;C85,[1]PriceList!$D:$D,[1]PriceList!$C:$C,0)</f>
        <v>532597</v>
      </c>
      <c r="F85" s="4">
        <f t="shared" si="2"/>
        <v>2662985</v>
      </c>
    </row>
    <row r="86" spans="1:6" x14ac:dyDescent="0.25">
      <c r="A86" s="7">
        <v>45888</v>
      </c>
      <c r="B86" t="s">
        <v>65</v>
      </c>
      <c r="C86" t="s">
        <v>69</v>
      </c>
      <c r="D86">
        <v>3</v>
      </c>
      <c r="E86" s="4">
        <f>_xll.XLOOKUP(B86&amp;C86,[1]PriceList!$D:$D,[1]PriceList!$C:$C,0)</f>
        <v>532597</v>
      </c>
      <c r="F86" s="4">
        <f t="shared" si="2"/>
        <v>1597791</v>
      </c>
    </row>
    <row r="87" spans="1:6" x14ac:dyDescent="0.25">
      <c r="A87" s="7">
        <v>45891</v>
      </c>
      <c r="B87" t="s">
        <v>67</v>
      </c>
      <c r="C87" t="s">
        <v>73</v>
      </c>
      <c r="D87">
        <v>4</v>
      </c>
      <c r="E87" s="4">
        <f>_xll.XLOOKUP(B87&amp;C87,[1]PriceList!$D:$D,[1]PriceList!$C:$C,0)</f>
        <v>239391</v>
      </c>
      <c r="F87" s="4">
        <f t="shared" si="2"/>
        <v>957564</v>
      </c>
    </row>
    <row r="88" spans="1:6" x14ac:dyDescent="0.25">
      <c r="A88" s="7">
        <v>45858</v>
      </c>
      <c r="B88" t="s">
        <v>67</v>
      </c>
      <c r="C88" t="s">
        <v>70</v>
      </c>
      <c r="D88">
        <v>3</v>
      </c>
      <c r="E88" s="4">
        <f>_xll.XLOOKUP(B88&amp;C88,[1]PriceList!$D:$D,[1]PriceList!$C:$C,0)</f>
        <v>338604</v>
      </c>
      <c r="F88" s="4">
        <f t="shared" si="2"/>
        <v>1015812</v>
      </c>
    </row>
    <row r="89" spans="1:6" x14ac:dyDescent="0.25">
      <c r="A89" s="7">
        <v>45853</v>
      </c>
      <c r="B89" t="s">
        <v>66</v>
      </c>
      <c r="C89" t="s">
        <v>71</v>
      </c>
      <c r="D89">
        <v>1</v>
      </c>
      <c r="E89" s="4">
        <f>_xll.XLOOKUP(B89&amp;C89,[1]PriceList!$D:$D,[1]PriceList!$C:$C,0)</f>
        <v>110059</v>
      </c>
      <c r="F89" s="4">
        <f t="shared" si="2"/>
        <v>110059</v>
      </c>
    </row>
    <row r="90" spans="1:6" x14ac:dyDescent="0.25">
      <c r="A90" s="7">
        <v>45890</v>
      </c>
      <c r="B90" t="s">
        <v>66</v>
      </c>
      <c r="C90" t="s">
        <v>70</v>
      </c>
      <c r="D90">
        <v>1</v>
      </c>
      <c r="E90" s="4">
        <f>_xll.XLOOKUP(B90&amp;C90,[1]PriceList!$D:$D,[1]PriceList!$C:$C,0)</f>
        <v>335496</v>
      </c>
      <c r="F90" s="4">
        <f t="shared" si="2"/>
        <v>335496</v>
      </c>
    </row>
    <row r="91" spans="1:6" x14ac:dyDescent="0.25">
      <c r="A91" s="7">
        <v>45856</v>
      </c>
      <c r="B91" t="s">
        <v>66</v>
      </c>
      <c r="C91" t="s">
        <v>71</v>
      </c>
      <c r="D91">
        <v>5</v>
      </c>
      <c r="E91" s="4">
        <f>_xll.XLOOKUP(B91&amp;C91,[1]PriceList!$D:$D,[1]PriceList!$C:$C,0)</f>
        <v>110059</v>
      </c>
      <c r="F91" s="4">
        <f t="shared" si="2"/>
        <v>550295</v>
      </c>
    </row>
    <row r="92" spans="1:6" x14ac:dyDescent="0.25">
      <c r="A92" s="7">
        <v>45857</v>
      </c>
      <c r="B92" t="s">
        <v>66</v>
      </c>
      <c r="C92" t="s">
        <v>69</v>
      </c>
      <c r="D92">
        <v>1</v>
      </c>
      <c r="E92" s="4">
        <f>_xll.XLOOKUP(B92&amp;C92,[1]PriceList!$D:$D,[1]PriceList!$C:$C,0)</f>
        <v>524199</v>
      </c>
      <c r="F92" s="4">
        <f t="shared" si="2"/>
        <v>524199</v>
      </c>
    </row>
    <row r="93" spans="1:6" x14ac:dyDescent="0.25">
      <c r="A93" s="7">
        <v>45882</v>
      </c>
      <c r="B93" t="s">
        <v>67</v>
      </c>
      <c r="C93" t="s">
        <v>72</v>
      </c>
      <c r="D93">
        <v>4</v>
      </c>
      <c r="E93" s="4">
        <f>_xll.XLOOKUP(B93&amp;C93,[1]PriceList!$D:$D,[1]PriceList!$C:$C,0)</f>
        <v>473548</v>
      </c>
      <c r="F93" s="4">
        <f t="shared" si="2"/>
        <v>1894192</v>
      </c>
    </row>
    <row r="94" spans="1:6" x14ac:dyDescent="0.25">
      <c r="A94" s="7">
        <v>45883</v>
      </c>
      <c r="B94" t="s">
        <v>65</v>
      </c>
      <c r="C94" t="s">
        <v>68</v>
      </c>
      <c r="D94">
        <v>2</v>
      </c>
      <c r="E94" s="4">
        <f>_xll.XLOOKUP(B94&amp;C94,[1]PriceList!$D:$D,[1]PriceList!$C:$C,0)</f>
        <v>170201</v>
      </c>
      <c r="F94" s="4">
        <f t="shared" si="2"/>
        <v>340402</v>
      </c>
    </row>
    <row r="95" spans="1:6" x14ac:dyDescent="0.25">
      <c r="A95" s="7">
        <v>45899</v>
      </c>
      <c r="B95" t="s">
        <v>67</v>
      </c>
      <c r="C95" t="s">
        <v>74</v>
      </c>
      <c r="D95">
        <v>1</v>
      </c>
      <c r="E95" s="4">
        <f>_xll.XLOOKUP(B95&amp;C95,[1]PriceList!$D:$D,[1]PriceList!$C:$C,0)</f>
        <v>0</v>
      </c>
      <c r="F95" s="4">
        <f t="shared" si="2"/>
        <v>0</v>
      </c>
    </row>
    <row r="96" spans="1:6" x14ac:dyDescent="0.25">
      <c r="A96" s="7">
        <v>45884</v>
      </c>
      <c r="B96" t="s">
        <v>65</v>
      </c>
      <c r="C96" t="s">
        <v>71</v>
      </c>
      <c r="D96">
        <v>1</v>
      </c>
      <c r="E96" s="4">
        <f>_xll.XLOOKUP(B96&amp;C96,[1]PriceList!$D:$D,[1]PriceList!$C:$C,0)</f>
        <v>86241</v>
      </c>
      <c r="F96" s="4">
        <f t="shared" si="2"/>
        <v>86241</v>
      </c>
    </row>
    <row r="97" spans="1:6" x14ac:dyDescent="0.25">
      <c r="A97" s="7">
        <v>45887</v>
      </c>
      <c r="B97" t="s">
        <v>67</v>
      </c>
      <c r="C97" t="s">
        <v>69</v>
      </c>
      <c r="D97">
        <v>1</v>
      </c>
      <c r="E97" s="4">
        <f>_xll.XLOOKUP(B97&amp;C97,[1]PriceList!$D:$D,[1]PriceList!$C:$C,0)</f>
        <v>533416</v>
      </c>
      <c r="F97" s="4">
        <f t="shared" si="2"/>
        <v>533416</v>
      </c>
    </row>
    <row r="98" spans="1:6" x14ac:dyDescent="0.25">
      <c r="A98" s="7">
        <v>45851</v>
      </c>
      <c r="B98" t="s">
        <v>65</v>
      </c>
      <c r="C98" t="s">
        <v>71</v>
      </c>
      <c r="D98">
        <v>2</v>
      </c>
      <c r="E98" s="4">
        <f>_xll.XLOOKUP(B98&amp;C98,[1]PriceList!$D:$D,[1]PriceList!$C:$C,0)</f>
        <v>86241</v>
      </c>
      <c r="F98" s="4">
        <f t="shared" si="2"/>
        <v>172482</v>
      </c>
    </row>
    <row r="99" spans="1:6" x14ac:dyDescent="0.25">
      <c r="A99" s="7">
        <v>45851</v>
      </c>
      <c r="B99" t="s">
        <v>65</v>
      </c>
      <c r="C99" t="s">
        <v>69</v>
      </c>
      <c r="D99">
        <v>2</v>
      </c>
      <c r="E99" s="4">
        <f>_xll.XLOOKUP(B99&amp;C99,[1]PriceList!$D:$D,[1]PriceList!$C:$C,0)</f>
        <v>532597</v>
      </c>
      <c r="F99" s="4">
        <f t="shared" si="2"/>
        <v>1065194</v>
      </c>
    </row>
    <row r="100" spans="1:6" x14ac:dyDescent="0.25">
      <c r="A100" s="7">
        <v>45847</v>
      </c>
      <c r="B100" t="s">
        <v>66</v>
      </c>
      <c r="C100" t="s">
        <v>71</v>
      </c>
      <c r="D100">
        <v>2</v>
      </c>
      <c r="E100" s="4">
        <f>_xll.XLOOKUP(B100&amp;C100,[1]PriceList!$D:$D,[1]PriceList!$C:$C,0)</f>
        <v>110059</v>
      </c>
      <c r="F100" s="4">
        <f t="shared" si="2"/>
        <v>220118</v>
      </c>
    </row>
    <row r="101" spans="1:6" x14ac:dyDescent="0.25">
      <c r="A101" s="7">
        <v>45880</v>
      </c>
      <c r="B101" t="s">
        <v>65</v>
      </c>
      <c r="C101" t="s">
        <v>70</v>
      </c>
      <c r="D101">
        <v>2</v>
      </c>
      <c r="E101" s="4">
        <f>_xll.XLOOKUP(B101&amp;C101,[1]PriceList!$D:$D,[1]PriceList!$C:$C,0)</f>
        <v>302904</v>
      </c>
      <c r="F101" s="4">
        <f t="shared" si="2"/>
        <v>605808</v>
      </c>
    </row>
    <row r="102" spans="1:6" x14ac:dyDescent="0.25">
      <c r="A102" s="7">
        <v>45856</v>
      </c>
      <c r="B102" t="s">
        <v>67</v>
      </c>
      <c r="C102" t="s">
        <v>69</v>
      </c>
      <c r="D102">
        <v>5</v>
      </c>
      <c r="E102" s="4">
        <f>_xll.XLOOKUP(B102&amp;C102,[1]PriceList!$D:$D,[1]PriceList!$C:$C,0)</f>
        <v>533416</v>
      </c>
      <c r="F102" s="4">
        <f t="shared" si="2"/>
        <v>2667080</v>
      </c>
    </row>
    <row r="103" spans="1:6" x14ac:dyDescent="0.25">
      <c r="A103" s="7">
        <v>45890</v>
      </c>
      <c r="B103" t="s">
        <v>66</v>
      </c>
      <c r="C103" t="s">
        <v>71</v>
      </c>
      <c r="D103">
        <v>1</v>
      </c>
      <c r="E103" s="4">
        <f>_xll.XLOOKUP(B103&amp;C103,[1]PriceList!$D:$D,[1]PriceList!$C:$C,0)</f>
        <v>110059</v>
      </c>
      <c r="F103" s="4">
        <f t="shared" si="2"/>
        <v>110059</v>
      </c>
    </row>
    <row r="104" spans="1:6" x14ac:dyDescent="0.25">
      <c r="A104" s="7">
        <v>45860</v>
      </c>
      <c r="B104" t="s">
        <v>64</v>
      </c>
      <c r="C104" t="s">
        <v>72</v>
      </c>
      <c r="D104">
        <v>3</v>
      </c>
      <c r="E104" s="4">
        <f>_xll.XLOOKUP(B104&amp;C104,[1]PriceList!$D:$D,[1]PriceList!$C:$C,0)</f>
        <v>468002</v>
      </c>
      <c r="F104" s="4">
        <f t="shared" si="2"/>
        <v>1404006</v>
      </c>
    </row>
    <row r="105" spans="1:6" x14ac:dyDescent="0.25">
      <c r="A105" s="7">
        <v>45847</v>
      </c>
      <c r="B105" t="s">
        <v>67</v>
      </c>
      <c r="C105" t="s">
        <v>71</v>
      </c>
      <c r="D105">
        <v>3</v>
      </c>
      <c r="E105" s="4">
        <f>_xll.XLOOKUP(B105&amp;C105,[1]PriceList!$D:$D,[1]PriceList!$C:$C,0)</f>
        <v>121595</v>
      </c>
      <c r="F105" s="4">
        <f t="shared" si="2"/>
        <v>364785</v>
      </c>
    </row>
    <row r="106" spans="1:6" x14ac:dyDescent="0.25">
      <c r="A106" s="7">
        <v>45895</v>
      </c>
      <c r="B106" t="s">
        <v>65</v>
      </c>
      <c r="C106" t="s">
        <v>69</v>
      </c>
      <c r="D106">
        <v>5</v>
      </c>
      <c r="E106" s="4">
        <f>_xll.XLOOKUP(B106&amp;C106,[1]PriceList!$D:$D,[1]PriceList!$C:$C,0)</f>
        <v>532597</v>
      </c>
      <c r="F106" s="4">
        <f t="shared" si="2"/>
        <v>2662985</v>
      </c>
    </row>
    <row r="107" spans="1:6" x14ac:dyDescent="0.25">
      <c r="A107" s="7">
        <v>45856</v>
      </c>
      <c r="B107" t="s">
        <v>66</v>
      </c>
      <c r="C107" t="s">
        <v>68</v>
      </c>
      <c r="D107">
        <v>4</v>
      </c>
      <c r="E107" s="4">
        <f>_xll.XLOOKUP(B107&amp;C107,[1]PriceList!$D:$D,[1]PriceList!$C:$C,0)</f>
        <v>200061</v>
      </c>
      <c r="F107" s="4">
        <f t="shared" si="2"/>
        <v>800244</v>
      </c>
    </row>
    <row r="108" spans="1:6" x14ac:dyDescent="0.25">
      <c r="A108" s="7">
        <v>45885</v>
      </c>
      <c r="B108" t="s">
        <v>67</v>
      </c>
      <c r="C108" t="s">
        <v>74</v>
      </c>
      <c r="D108">
        <v>3</v>
      </c>
      <c r="E108" s="4">
        <f>_xll.XLOOKUP(B108&amp;C108,[1]PriceList!$D:$D,[1]PriceList!$C:$C,0)</f>
        <v>0</v>
      </c>
      <c r="F108" s="4">
        <f t="shared" si="2"/>
        <v>0</v>
      </c>
    </row>
    <row r="109" spans="1:6" x14ac:dyDescent="0.25">
      <c r="A109" s="7">
        <v>45839</v>
      </c>
      <c r="B109" t="s">
        <v>67</v>
      </c>
      <c r="C109" t="s">
        <v>68</v>
      </c>
      <c r="D109">
        <v>2</v>
      </c>
      <c r="E109" s="4">
        <f>_xll.XLOOKUP(B109&amp;C109,[1]PriceList!$D:$D,[1]PriceList!$C:$C,0)</f>
        <v>207475</v>
      </c>
      <c r="F109" s="4">
        <f t="shared" si="2"/>
        <v>414950</v>
      </c>
    </row>
    <row r="110" spans="1:6" x14ac:dyDescent="0.25">
      <c r="A110" s="7">
        <v>45875</v>
      </c>
      <c r="B110" t="s">
        <v>65</v>
      </c>
      <c r="C110" t="s">
        <v>74</v>
      </c>
      <c r="D110">
        <v>4</v>
      </c>
      <c r="E110" s="4">
        <f>_xll.XLOOKUP(B110&amp;C110,[1]PriceList!$D:$D,[1]PriceList!$C:$C,0)</f>
        <v>0</v>
      </c>
      <c r="F110" s="4">
        <f t="shared" si="2"/>
        <v>0</v>
      </c>
    </row>
    <row r="111" spans="1:6" x14ac:dyDescent="0.25">
      <c r="A111" s="7">
        <v>45899</v>
      </c>
      <c r="B111" t="s">
        <v>66</v>
      </c>
      <c r="C111" t="s">
        <v>69</v>
      </c>
      <c r="D111">
        <v>2</v>
      </c>
      <c r="E111" s="4">
        <f>_xll.XLOOKUP(B111&amp;C111,[1]PriceList!$D:$D,[1]PriceList!$C:$C,0)</f>
        <v>524199</v>
      </c>
      <c r="F111" s="4">
        <f t="shared" si="2"/>
        <v>1048398</v>
      </c>
    </row>
    <row r="112" spans="1:6" x14ac:dyDescent="0.25">
      <c r="A112" s="7">
        <v>45845</v>
      </c>
      <c r="B112" t="s">
        <v>66</v>
      </c>
      <c r="C112" t="s">
        <v>73</v>
      </c>
      <c r="D112">
        <v>4</v>
      </c>
      <c r="E112" s="4">
        <f>_xll.XLOOKUP(B112&amp;C112,[1]PriceList!$D:$D,[1]PriceList!$C:$C,0)</f>
        <v>218017</v>
      </c>
      <c r="F112" s="4">
        <f t="shared" si="2"/>
        <v>872068</v>
      </c>
    </row>
    <row r="113" spans="1:6" x14ac:dyDescent="0.25">
      <c r="A113" s="7">
        <v>45873</v>
      </c>
      <c r="B113" t="s">
        <v>66</v>
      </c>
      <c r="C113" t="s">
        <v>69</v>
      </c>
      <c r="D113">
        <v>1</v>
      </c>
      <c r="E113" s="4">
        <f>_xll.XLOOKUP(B113&amp;C113,[1]PriceList!$D:$D,[1]PriceList!$C:$C,0)</f>
        <v>524199</v>
      </c>
      <c r="F113" s="4">
        <f t="shared" si="2"/>
        <v>524199</v>
      </c>
    </row>
    <row r="114" spans="1:6" x14ac:dyDescent="0.25">
      <c r="A114" s="7">
        <v>45864</v>
      </c>
      <c r="B114" t="s">
        <v>66</v>
      </c>
      <c r="C114" t="s">
        <v>68</v>
      </c>
      <c r="D114">
        <v>4</v>
      </c>
      <c r="E114" s="4">
        <f>_xll.XLOOKUP(B114&amp;C114,[1]PriceList!$D:$D,[1]PriceList!$C:$C,0)</f>
        <v>200061</v>
      </c>
      <c r="F114" s="4">
        <f t="shared" si="2"/>
        <v>800244</v>
      </c>
    </row>
    <row r="115" spans="1:6" x14ac:dyDescent="0.25">
      <c r="A115" s="7">
        <v>45853</v>
      </c>
      <c r="B115" t="s">
        <v>67</v>
      </c>
      <c r="C115" t="s">
        <v>68</v>
      </c>
      <c r="D115">
        <v>5</v>
      </c>
      <c r="E115" s="4">
        <f>_xll.XLOOKUP(B115&amp;C115,[1]PriceList!$D:$D,[1]PriceList!$C:$C,0)</f>
        <v>207475</v>
      </c>
      <c r="F115" s="4">
        <f t="shared" si="2"/>
        <v>1037375</v>
      </c>
    </row>
    <row r="116" spans="1:6" x14ac:dyDescent="0.25">
      <c r="A116" s="7">
        <v>45894</v>
      </c>
      <c r="B116" t="s">
        <v>65</v>
      </c>
      <c r="C116" t="s">
        <v>72</v>
      </c>
      <c r="D116">
        <v>5</v>
      </c>
      <c r="E116" s="4">
        <f>_xll.XLOOKUP(B116&amp;C116,[1]PriceList!$D:$D,[1]PriceList!$C:$C,0)</f>
        <v>434372</v>
      </c>
      <c r="F116" s="4">
        <f t="shared" si="2"/>
        <v>2171860</v>
      </c>
    </row>
    <row r="117" spans="1:6" x14ac:dyDescent="0.25">
      <c r="A117" s="7">
        <v>45844</v>
      </c>
      <c r="B117" t="s">
        <v>64</v>
      </c>
      <c r="C117" t="s">
        <v>73</v>
      </c>
      <c r="D117">
        <v>1</v>
      </c>
      <c r="E117" s="4">
        <f>_xll.XLOOKUP(B117&amp;C117,[1]PriceList!$D:$D,[1]PriceList!$C:$C,0)</f>
        <v>218712</v>
      </c>
      <c r="F117" s="4">
        <f t="shared" si="2"/>
        <v>218712</v>
      </c>
    </row>
    <row r="118" spans="1:6" x14ac:dyDescent="0.25">
      <c r="A118" s="7">
        <v>45842</v>
      </c>
      <c r="B118" t="s">
        <v>64</v>
      </c>
      <c r="C118" t="s">
        <v>71</v>
      </c>
      <c r="D118">
        <v>1</v>
      </c>
      <c r="E118" s="4">
        <f>_xll.XLOOKUP(B118&amp;C118,[1]PriceList!$D:$D,[1]PriceList!$C:$C,0)</f>
        <v>80742</v>
      </c>
      <c r="F118" s="4">
        <f t="shared" si="2"/>
        <v>80742</v>
      </c>
    </row>
    <row r="119" spans="1:6" x14ac:dyDescent="0.25">
      <c r="A119" s="7">
        <v>45844</v>
      </c>
      <c r="B119" t="s">
        <v>64</v>
      </c>
      <c r="C119" t="s">
        <v>69</v>
      </c>
      <c r="D119">
        <v>3</v>
      </c>
      <c r="E119" s="4">
        <f>_xll.XLOOKUP(B119&amp;C119,[1]PriceList!$D:$D,[1]PriceList!$C:$C,0)</f>
        <v>504289</v>
      </c>
      <c r="F119" s="4">
        <f t="shared" si="2"/>
        <v>1512867</v>
      </c>
    </row>
    <row r="120" spans="1:6" x14ac:dyDescent="0.25">
      <c r="A120" s="7">
        <v>45845</v>
      </c>
      <c r="B120" t="s">
        <v>67</v>
      </c>
      <c r="C120" t="s">
        <v>72</v>
      </c>
      <c r="D120">
        <v>2</v>
      </c>
      <c r="E120" s="4">
        <f>_xll.XLOOKUP(B120&amp;C120,[1]PriceList!$D:$D,[1]PriceList!$C:$C,0)</f>
        <v>473548</v>
      </c>
      <c r="F120" s="4">
        <f t="shared" si="2"/>
        <v>947096</v>
      </c>
    </row>
    <row r="121" spans="1:6" x14ac:dyDescent="0.25">
      <c r="A121" s="7">
        <v>45848</v>
      </c>
      <c r="B121" t="s">
        <v>64</v>
      </c>
      <c r="C121" t="s">
        <v>68</v>
      </c>
      <c r="D121">
        <v>4</v>
      </c>
      <c r="E121" s="4">
        <f>_xll.XLOOKUP(B121&amp;C121,[1]PriceList!$D:$D,[1]PriceList!$C:$C,0)</f>
        <v>169224</v>
      </c>
      <c r="F121" s="4">
        <f t="shared" si="2"/>
        <v>676896</v>
      </c>
    </row>
    <row r="122" spans="1:6" x14ac:dyDescent="0.25">
      <c r="A122" s="7">
        <v>45884</v>
      </c>
      <c r="B122" t="s">
        <v>65</v>
      </c>
      <c r="C122" t="s">
        <v>69</v>
      </c>
      <c r="D122">
        <v>3</v>
      </c>
      <c r="E122" s="4">
        <f>_xll.XLOOKUP(B122&amp;C122,[1]PriceList!$D:$D,[1]PriceList!$C:$C,0)</f>
        <v>532597</v>
      </c>
      <c r="F122" s="4">
        <f t="shared" si="2"/>
        <v>1597791</v>
      </c>
    </row>
    <row r="123" spans="1:6" x14ac:dyDescent="0.25">
      <c r="A123" s="7">
        <v>45867</v>
      </c>
      <c r="B123" t="s">
        <v>66</v>
      </c>
      <c r="C123" t="s">
        <v>74</v>
      </c>
      <c r="D123">
        <v>5</v>
      </c>
      <c r="E123" s="4">
        <f>_xll.XLOOKUP(B123&amp;C123,[1]PriceList!$D:$D,[1]PriceList!$C:$C,0)</f>
        <v>0</v>
      </c>
      <c r="F123" s="4">
        <f t="shared" si="2"/>
        <v>0</v>
      </c>
    </row>
    <row r="124" spans="1:6" x14ac:dyDescent="0.25">
      <c r="A124" s="7">
        <v>45843</v>
      </c>
      <c r="B124" t="s">
        <v>67</v>
      </c>
      <c r="C124" t="s">
        <v>68</v>
      </c>
      <c r="D124">
        <v>2</v>
      </c>
      <c r="E124" s="4">
        <f>_xll.XLOOKUP(B124&amp;C124,[1]PriceList!$D:$D,[1]PriceList!$C:$C,0)</f>
        <v>207475</v>
      </c>
      <c r="F124" s="4">
        <f t="shared" si="2"/>
        <v>414950</v>
      </c>
    </row>
    <row r="125" spans="1:6" x14ac:dyDescent="0.25">
      <c r="A125" s="7">
        <v>45877</v>
      </c>
      <c r="B125" t="s">
        <v>65</v>
      </c>
      <c r="C125" t="s">
        <v>74</v>
      </c>
      <c r="D125">
        <v>1</v>
      </c>
      <c r="E125" s="4">
        <f>_xll.XLOOKUP(B125&amp;C125,[1]PriceList!$D:$D,[1]PriceList!$C:$C,0)</f>
        <v>0</v>
      </c>
      <c r="F125" s="4">
        <f t="shared" si="2"/>
        <v>0</v>
      </c>
    </row>
    <row r="126" spans="1:6" x14ac:dyDescent="0.25">
      <c r="A126" s="7">
        <v>45883</v>
      </c>
      <c r="B126" t="s">
        <v>67</v>
      </c>
      <c r="C126" t="s">
        <v>68</v>
      </c>
      <c r="D126">
        <v>2</v>
      </c>
      <c r="E126" s="4">
        <f>_xll.XLOOKUP(B126&amp;C126,[1]PriceList!$D:$D,[1]PriceList!$C:$C,0)</f>
        <v>207475</v>
      </c>
      <c r="F126" s="4">
        <f t="shared" si="2"/>
        <v>414950</v>
      </c>
    </row>
    <row r="127" spans="1:6" x14ac:dyDescent="0.25">
      <c r="A127" s="7">
        <v>45887</v>
      </c>
      <c r="C127" t="s">
        <v>71</v>
      </c>
      <c r="D127">
        <v>1</v>
      </c>
      <c r="E127" s="4">
        <f>_xll.XLOOKUP(B127&amp;C127,[1]PriceList!$D:$D,[1]PriceList!$C:$C,0)</f>
        <v>0</v>
      </c>
      <c r="F127" s="4">
        <f t="shared" si="2"/>
        <v>0</v>
      </c>
    </row>
    <row r="128" spans="1:6" x14ac:dyDescent="0.25">
      <c r="A128" s="7">
        <v>45852</v>
      </c>
      <c r="B128" t="s">
        <v>65</v>
      </c>
      <c r="C128" t="s">
        <v>73</v>
      </c>
      <c r="D128">
        <v>2</v>
      </c>
      <c r="E128" s="4">
        <f>_xll.XLOOKUP(B128&amp;C128,[1]PriceList!$D:$D,[1]PriceList!$C:$C,0)</f>
        <v>232909</v>
      </c>
      <c r="F128" s="4">
        <f t="shared" si="2"/>
        <v>465818</v>
      </c>
    </row>
    <row r="129" spans="1:6" x14ac:dyDescent="0.25">
      <c r="A129" s="7">
        <v>45844</v>
      </c>
      <c r="B129" t="s">
        <v>64</v>
      </c>
      <c r="C129" t="s">
        <v>71</v>
      </c>
      <c r="D129">
        <v>2</v>
      </c>
      <c r="E129" s="4">
        <f>_xll.XLOOKUP(B129&amp;C129,[1]PriceList!$D:$D,[1]PriceList!$C:$C,0)</f>
        <v>80742</v>
      </c>
      <c r="F129" s="4">
        <f t="shared" si="2"/>
        <v>161484</v>
      </c>
    </row>
    <row r="130" spans="1:6" x14ac:dyDescent="0.25">
      <c r="A130" s="7">
        <v>45867</v>
      </c>
      <c r="B130" t="s">
        <v>66</v>
      </c>
      <c r="C130" t="s">
        <v>73</v>
      </c>
      <c r="D130">
        <v>5</v>
      </c>
      <c r="E130" s="4">
        <f>_xll.XLOOKUP(B130&amp;C130,[1]PriceList!$D:$D,[1]PriceList!$C:$C,0)</f>
        <v>218017</v>
      </c>
      <c r="F130" s="4">
        <f t="shared" si="2"/>
        <v>1090085</v>
      </c>
    </row>
    <row r="131" spans="1:6" x14ac:dyDescent="0.25">
      <c r="A131" s="7">
        <v>45899</v>
      </c>
      <c r="B131" t="s">
        <v>67</v>
      </c>
      <c r="C131" t="s">
        <v>71</v>
      </c>
      <c r="D131">
        <v>2</v>
      </c>
      <c r="E131" s="4">
        <f>_xll.XLOOKUP(B131&amp;C131,[1]PriceList!$D:$D,[1]PriceList!$C:$C,0)</f>
        <v>121595</v>
      </c>
      <c r="F131" s="4">
        <f t="shared" si="2"/>
        <v>243190</v>
      </c>
    </row>
    <row r="132" spans="1:6" x14ac:dyDescent="0.25">
      <c r="A132" s="7">
        <v>45871</v>
      </c>
      <c r="B132" t="s">
        <v>65</v>
      </c>
      <c r="C132" t="s">
        <v>71</v>
      </c>
      <c r="D132">
        <v>5</v>
      </c>
      <c r="E132" s="4">
        <f>_xll.XLOOKUP(B132&amp;C132,[1]PriceList!$D:$D,[1]PriceList!$C:$C,0)</f>
        <v>86241</v>
      </c>
      <c r="F132" s="4">
        <f t="shared" si="2"/>
        <v>431205</v>
      </c>
    </row>
    <row r="133" spans="1:6" x14ac:dyDescent="0.25">
      <c r="A133" s="7">
        <v>45886</v>
      </c>
      <c r="B133" t="s">
        <v>64</v>
      </c>
      <c r="C133" t="s">
        <v>72</v>
      </c>
      <c r="D133">
        <v>5</v>
      </c>
      <c r="E133" s="4">
        <f>_xll.XLOOKUP(B133&amp;C133,[1]PriceList!$D:$D,[1]PriceList!$C:$C,0)</f>
        <v>468002</v>
      </c>
      <c r="F133" s="4">
        <f t="shared" si="2"/>
        <v>2340010</v>
      </c>
    </row>
    <row r="134" spans="1:6" x14ac:dyDescent="0.25">
      <c r="A134" s="7">
        <v>45879</v>
      </c>
      <c r="B134" t="s">
        <v>64</v>
      </c>
      <c r="C134" t="s">
        <v>69</v>
      </c>
      <c r="D134">
        <v>5</v>
      </c>
      <c r="E134" s="4">
        <f>_xll.XLOOKUP(B134&amp;C134,[1]PriceList!$D:$D,[1]PriceList!$C:$C,0)</f>
        <v>504289</v>
      </c>
      <c r="F134" s="4">
        <f t="shared" si="2"/>
        <v>2521445</v>
      </c>
    </row>
    <row r="135" spans="1:6" x14ac:dyDescent="0.25">
      <c r="A135" s="7">
        <v>45894</v>
      </c>
      <c r="B135" t="s">
        <v>66</v>
      </c>
      <c r="C135" t="s">
        <v>69</v>
      </c>
      <c r="D135">
        <v>1</v>
      </c>
      <c r="E135" s="4">
        <f>_xll.XLOOKUP(B135&amp;C135,[1]PriceList!$D:$D,[1]PriceList!$C:$C,0)</f>
        <v>524199</v>
      </c>
      <c r="F135" s="4">
        <f t="shared" si="2"/>
        <v>524199</v>
      </c>
    </row>
    <row r="136" spans="1:6" x14ac:dyDescent="0.25">
      <c r="A136" s="7">
        <v>45894</v>
      </c>
      <c r="B136" t="s">
        <v>67</v>
      </c>
      <c r="C136" t="s">
        <v>72</v>
      </c>
      <c r="D136">
        <v>1</v>
      </c>
      <c r="E136" s="4">
        <f>_xll.XLOOKUP(B136&amp;C136,[1]PriceList!$D:$D,[1]PriceList!$C:$C,0)</f>
        <v>473548</v>
      </c>
      <c r="F136" s="4">
        <f t="shared" si="2"/>
        <v>473548</v>
      </c>
    </row>
    <row r="137" spans="1:6" x14ac:dyDescent="0.25">
      <c r="A137" s="7">
        <v>45890</v>
      </c>
      <c r="B137" t="s">
        <v>67</v>
      </c>
      <c r="C137" t="s">
        <v>71</v>
      </c>
      <c r="D137">
        <v>3</v>
      </c>
      <c r="E137" s="4">
        <f>_xll.XLOOKUP(B137&amp;C137,[1]PriceList!$D:$D,[1]PriceList!$C:$C,0)</f>
        <v>121595</v>
      </c>
      <c r="F137" s="4">
        <f t="shared" ref="F137:F200" si="3">D137*E137</f>
        <v>364785</v>
      </c>
    </row>
    <row r="138" spans="1:6" x14ac:dyDescent="0.25">
      <c r="A138" s="7">
        <v>45861</v>
      </c>
      <c r="B138" t="s">
        <v>64</v>
      </c>
      <c r="C138" t="s">
        <v>69</v>
      </c>
      <c r="D138">
        <v>5</v>
      </c>
      <c r="E138" s="4">
        <f>_xll.XLOOKUP(B138&amp;C138,[1]PriceList!$D:$D,[1]PriceList!$C:$C,0)</f>
        <v>504289</v>
      </c>
      <c r="F138" s="4">
        <f t="shared" si="3"/>
        <v>2521445</v>
      </c>
    </row>
    <row r="139" spans="1:6" x14ac:dyDescent="0.25">
      <c r="A139" s="7">
        <v>45878</v>
      </c>
      <c r="B139" t="s">
        <v>64</v>
      </c>
      <c r="C139" t="s">
        <v>69</v>
      </c>
      <c r="D139">
        <v>1</v>
      </c>
      <c r="E139" s="4">
        <f>_xll.XLOOKUP(B139&amp;C139,[1]PriceList!$D:$D,[1]PriceList!$C:$C,0)</f>
        <v>504289</v>
      </c>
      <c r="F139" s="4">
        <f t="shared" si="3"/>
        <v>504289</v>
      </c>
    </row>
    <row r="140" spans="1:6" x14ac:dyDescent="0.25">
      <c r="A140" s="7">
        <v>45887</v>
      </c>
      <c r="B140" t="s">
        <v>66</v>
      </c>
      <c r="C140" t="s">
        <v>70</v>
      </c>
      <c r="D140">
        <v>1</v>
      </c>
      <c r="E140" s="4">
        <f>_xll.XLOOKUP(B140&amp;C140,[1]PriceList!$D:$D,[1]PriceList!$C:$C,0)</f>
        <v>335496</v>
      </c>
      <c r="F140" s="4">
        <f t="shared" si="3"/>
        <v>335496</v>
      </c>
    </row>
    <row r="141" spans="1:6" x14ac:dyDescent="0.25">
      <c r="A141" s="7">
        <v>45890</v>
      </c>
      <c r="B141" t="s">
        <v>66</v>
      </c>
      <c r="C141" t="s">
        <v>73</v>
      </c>
      <c r="D141">
        <v>4</v>
      </c>
      <c r="E141" s="4">
        <f>_xll.XLOOKUP(B141&amp;C141,[1]PriceList!$D:$D,[1]PriceList!$C:$C,0)</f>
        <v>218017</v>
      </c>
      <c r="F141" s="4">
        <f t="shared" si="3"/>
        <v>872068</v>
      </c>
    </row>
    <row r="142" spans="1:6" x14ac:dyDescent="0.25">
      <c r="A142" s="7">
        <v>45877</v>
      </c>
      <c r="B142" t="s">
        <v>65</v>
      </c>
      <c r="C142" t="s">
        <v>73</v>
      </c>
      <c r="D142">
        <v>1</v>
      </c>
      <c r="E142" s="4">
        <f>_xll.XLOOKUP(B142&amp;C142,[1]PriceList!$D:$D,[1]PriceList!$C:$C,0)</f>
        <v>232909</v>
      </c>
      <c r="F142" s="4">
        <f t="shared" si="3"/>
        <v>232909</v>
      </c>
    </row>
    <row r="143" spans="1:6" x14ac:dyDescent="0.25">
      <c r="A143" s="7">
        <v>45852</v>
      </c>
      <c r="B143" t="s">
        <v>65</v>
      </c>
      <c r="C143" t="s">
        <v>69</v>
      </c>
      <c r="D143">
        <v>5</v>
      </c>
      <c r="E143" s="4">
        <f>_xll.XLOOKUP(B143&amp;C143,[1]PriceList!$D:$D,[1]PriceList!$C:$C,0)</f>
        <v>532597</v>
      </c>
      <c r="F143" s="4">
        <f t="shared" si="3"/>
        <v>2662985</v>
      </c>
    </row>
    <row r="144" spans="1:6" x14ac:dyDescent="0.25">
      <c r="A144" s="7">
        <v>45893</v>
      </c>
      <c r="B144" t="s">
        <v>64</v>
      </c>
      <c r="C144" t="s">
        <v>69</v>
      </c>
      <c r="D144">
        <v>1</v>
      </c>
      <c r="E144" s="4">
        <f>_xll.XLOOKUP(B144&amp;C144,[1]PriceList!$D:$D,[1]PriceList!$C:$C,0)</f>
        <v>504289</v>
      </c>
      <c r="F144" s="4">
        <f t="shared" si="3"/>
        <v>504289</v>
      </c>
    </row>
    <row r="145" spans="1:6" x14ac:dyDescent="0.25">
      <c r="A145" s="7">
        <v>45874</v>
      </c>
      <c r="B145" t="s">
        <v>65</v>
      </c>
      <c r="C145" t="s">
        <v>71</v>
      </c>
      <c r="D145">
        <v>4</v>
      </c>
      <c r="E145" s="4">
        <f>_xll.XLOOKUP(B145&amp;C145,[1]PriceList!$D:$D,[1]PriceList!$C:$C,0)</f>
        <v>86241</v>
      </c>
      <c r="F145" s="4">
        <f t="shared" si="3"/>
        <v>344964</v>
      </c>
    </row>
    <row r="146" spans="1:6" x14ac:dyDescent="0.25">
      <c r="A146" s="7">
        <v>45879</v>
      </c>
      <c r="B146" t="s">
        <v>66</v>
      </c>
      <c r="C146" t="s">
        <v>69</v>
      </c>
      <c r="D146">
        <v>5</v>
      </c>
      <c r="E146" s="4">
        <f>_xll.XLOOKUP(B146&amp;C146,[1]PriceList!$D:$D,[1]PriceList!$C:$C,0)</f>
        <v>524199</v>
      </c>
      <c r="F146" s="4">
        <f t="shared" si="3"/>
        <v>2620995</v>
      </c>
    </row>
    <row r="147" spans="1:6" x14ac:dyDescent="0.25">
      <c r="A147" s="7">
        <v>45893</v>
      </c>
      <c r="B147" t="s">
        <v>66</v>
      </c>
      <c r="C147" t="s">
        <v>69</v>
      </c>
      <c r="D147">
        <v>1</v>
      </c>
      <c r="E147" s="4">
        <f>_xll.XLOOKUP(B147&amp;C147,[1]PriceList!$D:$D,[1]PriceList!$C:$C,0)</f>
        <v>524199</v>
      </c>
      <c r="F147" s="4">
        <f t="shared" si="3"/>
        <v>524199</v>
      </c>
    </row>
    <row r="148" spans="1:6" x14ac:dyDescent="0.25">
      <c r="A148" s="7">
        <v>45843</v>
      </c>
      <c r="B148" t="s">
        <v>64</v>
      </c>
      <c r="C148" t="s">
        <v>69</v>
      </c>
      <c r="D148">
        <v>1</v>
      </c>
      <c r="E148" s="4">
        <f>_xll.XLOOKUP(B148&amp;C148,[1]PriceList!$D:$D,[1]PriceList!$C:$C,0)</f>
        <v>504289</v>
      </c>
      <c r="F148" s="4">
        <f t="shared" si="3"/>
        <v>504289</v>
      </c>
    </row>
    <row r="149" spans="1:6" x14ac:dyDescent="0.25">
      <c r="A149" s="7">
        <v>45888</v>
      </c>
      <c r="B149" t="s">
        <v>65</v>
      </c>
      <c r="C149" t="s">
        <v>69</v>
      </c>
      <c r="D149">
        <v>4</v>
      </c>
      <c r="E149" s="4">
        <f>_xll.XLOOKUP(B149&amp;C149,[1]PriceList!$D:$D,[1]PriceList!$C:$C,0)</f>
        <v>532597</v>
      </c>
      <c r="F149" s="4">
        <f t="shared" si="3"/>
        <v>2130388</v>
      </c>
    </row>
    <row r="150" spans="1:6" x14ac:dyDescent="0.25">
      <c r="A150" s="7">
        <v>45900</v>
      </c>
      <c r="B150" t="s">
        <v>67</v>
      </c>
      <c r="C150" t="s">
        <v>69</v>
      </c>
      <c r="D150">
        <v>1</v>
      </c>
      <c r="E150" s="4">
        <f>_xll.XLOOKUP(B150&amp;C150,[1]PriceList!$D:$D,[1]PriceList!$C:$C,0)</f>
        <v>533416</v>
      </c>
      <c r="F150" s="4">
        <f t="shared" si="3"/>
        <v>533416</v>
      </c>
    </row>
    <row r="151" spans="1:6" x14ac:dyDescent="0.25">
      <c r="A151" s="7">
        <v>45853</v>
      </c>
      <c r="B151" t="s">
        <v>65</v>
      </c>
      <c r="C151" t="s">
        <v>72</v>
      </c>
      <c r="D151">
        <v>3</v>
      </c>
      <c r="E151" s="4">
        <f>_xll.XLOOKUP(B151&amp;C151,[1]PriceList!$D:$D,[1]PriceList!$C:$C,0)</f>
        <v>434372</v>
      </c>
      <c r="F151" s="4">
        <f t="shared" si="3"/>
        <v>1303116</v>
      </c>
    </row>
    <row r="152" spans="1:6" x14ac:dyDescent="0.25">
      <c r="A152" s="7">
        <v>45871</v>
      </c>
      <c r="B152" t="s">
        <v>67</v>
      </c>
      <c r="C152" t="s">
        <v>72</v>
      </c>
      <c r="D152">
        <v>1</v>
      </c>
      <c r="E152" s="4">
        <f>_xll.XLOOKUP(B152&amp;C152,[1]PriceList!$D:$D,[1]PriceList!$C:$C,0)</f>
        <v>473548</v>
      </c>
      <c r="F152" s="4">
        <f t="shared" si="3"/>
        <v>473548</v>
      </c>
    </row>
    <row r="153" spans="1:6" x14ac:dyDescent="0.25">
      <c r="A153" s="7">
        <v>45899</v>
      </c>
      <c r="B153" t="s">
        <v>67</v>
      </c>
      <c r="C153" t="s">
        <v>68</v>
      </c>
      <c r="D153">
        <v>5</v>
      </c>
      <c r="E153" s="4">
        <f>_xll.XLOOKUP(B153&amp;C153,[1]PriceList!$D:$D,[1]PriceList!$C:$C,0)</f>
        <v>207475</v>
      </c>
      <c r="F153" s="4">
        <f t="shared" si="3"/>
        <v>1037375</v>
      </c>
    </row>
    <row r="154" spans="1:6" x14ac:dyDescent="0.25">
      <c r="A154" s="7">
        <v>45852</v>
      </c>
      <c r="B154" t="s">
        <v>67</v>
      </c>
      <c r="C154" t="s">
        <v>69</v>
      </c>
      <c r="D154">
        <v>3</v>
      </c>
      <c r="E154" s="4">
        <f>_xll.XLOOKUP(B154&amp;C154,[1]PriceList!$D:$D,[1]PriceList!$C:$C,0)</f>
        <v>533416</v>
      </c>
      <c r="F154" s="4">
        <f t="shared" si="3"/>
        <v>1600248</v>
      </c>
    </row>
    <row r="155" spans="1:6" x14ac:dyDescent="0.25">
      <c r="A155" s="7">
        <v>45872</v>
      </c>
      <c r="B155" t="s">
        <v>64</v>
      </c>
      <c r="C155" t="s">
        <v>72</v>
      </c>
      <c r="D155">
        <v>5</v>
      </c>
      <c r="E155" s="4">
        <f>_xll.XLOOKUP(B155&amp;C155,[1]PriceList!$D:$D,[1]PriceList!$C:$C,0)</f>
        <v>468002</v>
      </c>
      <c r="F155" s="4">
        <f t="shared" si="3"/>
        <v>2340010</v>
      </c>
    </row>
    <row r="156" spans="1:6" x14ac:dyDescent="0.25">
      <c r="A156" s="7">
        <v>45876</v>
      </c>
      <c r="B156" t="s">
        <v>66</v>
      </c>
      <c r="C156" t="s">
        <v>72</v>
      </c>
      <c r="D156">
        <v>5</v>
      </c>
      <c r="E156" s="4">
        <f>_xll.XLOOKUP(B156&amp;C156,[1]PriceList!$D:$D,[1]PriceList!$C:$C,0)</f>
        <v>442673</v>
      </c>
      <c r="F156" s="4">
        <f t="shared" si="3"/>
        <v>2213365</v>
      </c>
    </row>
    <row r="157" spans="1:6" x14ac:dyDescent="0.25">
      <c r="A157" s="7">
        <v>45849</v>
      </c>
      <c r="B157" t="s">
        <v>67</v>
      </c>
      <c r="C157" t="s">
        <v>70</v>
      </c>
      <c r="D157">
        <v>3</v>
      </c>
      <c r="E157" s="4">
        <f>_xll.XLOOKUP(B157&amp;C157,[1]PriceList!$D:$D,[1]PriceList!$C:$C,0)</f>
        <v>338604</v>
      </c>
      <c r="F157" s="4">
        <f t="shared" si="3"/>
        <v>1015812</v>
      </c>
    </row>
    <row r="158" spans="1:6" x14ac:dyDescent="0.25">
      <c r="A158" s="7">
        <v>45844</v>
      </c>
      <c r="B158" t="s">
        <v>67</v>
      </c>
      <c r="C158" t="s">
        <v>68</v>
      </c>
      <c r="D158">
        <v>4</v>
      </c>
      <c r="E158" s="4">
        <f>_xll.XLOOKUP(B158&amp;C158,[1]PriceList!$D:$D,[1]PriceList!$C:$C,0)</f>
        <v>207475</v>
      </c>
      <c r="F158" s="4">
        <f t="shared" si="3"/>
        <v>829900</v>
      </c>
    </row>
    <row r="159" spans="1:6" x14ac:dyDescent="0.25">
      <c r="A159" s="7">
        <v>45893</v>
      </c>
      <c r="B159" t="s">
        <v>64</v>
      </c>
      <c r="C159" t="s">
        <v>68</v>
      </c>
      <c r="D159">
        <v>2</v>
      </c>
      <c r="E159" s="4">
        <f>_xll.XLOOKUP(B159&amp;C159,[1]PriceList!$D:$D,[1]PriceList!$C:$C,0)</f>
        <v>169224</v>
      </c>
      <c r="F159" s="4">
        <f t="shared" si="3"/>
        <v>338448</v>
      </c>
    </row>
    <row r="160" spans="1:6" x14ac:dyDescent="0.25">
      <c r="A160" s="7">
        <v>45879</v>
      </c>
      <c r="B160" t="s">
        <v>64</v>
      </c>
      <c r="C160" t="s">
        <v>72</v>
      </c>
      <c r="D160">
        <v>3</v>
      </c>
      <c r="E160" s="4">
        <f>_xll.XLOOKUP(B160&amp;C160,[1]PriceList!$D:$D,[1]PriceList!$C:$C,0)</f>
        <v>468002</v>
      </c>
      <c r="F160" s="4">
        <f t="shared" si="3"/>
        <v>1404006</v>
      </c>
    </row>
    <row r="161" spans="1:6" x14ac:dyDescent="0.25">
      <c r="A161" s="7">
        <v>45881</v>
      </c>
      <c r="B161" t="s">
        <v>64</v>
      </c>
      <c r="C161" t="s">
        <v>71</v>
      </c>
      <c r="D161">
        <v>3</v>
      </c>
      <c r="E161" s="4">
        <f>_xll.XLOOKUP(B161&amp;C161,[1]PriceList!$D:$D,[1]PriceList!$C:$C,0)</f>
        <v>80742</v>
      </c>
      <c r="F161" s="4">
        <f t="shared" si="3"/>
        <v>242226</v>
      </c>
    </row>
    <row r="162" spans="1:6" x14ac:dyDescent="0.25">
      <c r="A162" s="7">
        <v>45843</v>
      </c>
      <c r="B162" t="s">
        <v>64</v>
      </c>
      <c r="C162" t="s">
        <v>73</v>
      </c>
      <c r="D162">
        <v>5</v>
      </c>
      <c r="E162" s="4">
        <f>_xll.XLOOKUP(B162&amp;C162,[1]PriceList!$D:$D,[1]PriceList!$C:$C,0)</f>
        <v>218712</v>
      </c>
      <c r="F162" s="4">
        <f t="shared" si="3"/>
        <v>1093560</v>
      </c>
    </row>
    <row r="163" spans="1:6" x14ac:dyDescent="0.25">
      <c r="A163" s="7">
        <v>45885</v>
      </c>
      <c r="B163" t="s">
        <v>67</v>
      </c>
      <c r="C163" t="s">
        <v>72</v>
      </c>
      <c r="D163">
        <v>5</v>
      </c>
      <c r="E163" s="4">
        <f>_xll.XLOOKUP(B163&amp;C163,[1]PriceList!$D:$D,[1]PriceList!$C:$C,0)</f>
        <v>473548</v>
      </c>
      <c r="F163" s="4">
        <f t="shared" si="3"/>
        <v>2367740</v>
      </c>
    </row>
    <row r="164" spans="1:6" x14ac:dyDescent="0.25">
      <c r="A164" s="7">
        <v>45888</v>
      </c>
      <c r="B164" t="s">
        <v>67</v>
      </c>
      <c r="C164" t="s">
        <v>72</v>
      </c>
      <c r="D164">
        <v>2</v>
      </c>
      <c r="E164" s="4">
        <f>_xll.XLOOKUP(B164&amp;C164,[1]PriceList!$D:$D,[1]PriceList!$C:$C,0)</f>
        <v>473548</v>
      </c>
      <c r="F164" s="4">
        <f t="shared" si="3"/>
        <v>947096</v>
      </c>
    </row>
    <row r="165" spans="1:6" x14ac:dyDescent="0.25">
      <c r="A165" s="7">
        <v>45876</v>
      </c>
      <c r="B165" t="s">
        <v>67</v>
      </c>
      <c r="C165" t="s">
        <v>68</v>
      </c>
      <c r="D165">
        <v>2</v>
      </c>
      <c r="E165" s="4">
        <f>_xll.XLOOKUP(B165&amp;C165,[1]PriceList!$D:$D,[1]PriceList!$C:$C,0)</f>
        <v>207475</v>
      </c>
      <c r="F165" s="4">
        <f t="shared" si="3"/>
        <v>414950</v>
      </c>
    </row>
    <row r="166" spans="1:6" x14ac:dyDescent="0.25">
      <c r="A166" s="7">
        <v>45871</v>
      </c>
      <c r="B166" t="s">
        <v>64</v>
      </c>
      <c r="C166" t="s">
        <v>70</v>
      </c>
      <c r="D166">
        <v>1</v>
      </c>
      <c r="E166" s="4">
        <f>_xll.XLOOKUP(B166&amp;C166,[1]PriceList!$D:$D,[1]PriceList!$C:$C,0)</f>
        <v>316210</v>
      </c>
      <c r="F166" s="4">
        <f t="shared" si="3"/>
        <v>316210</v>
      </c>
    </row>
    <row r="167" spans="1:6" x14ac:dyDescent="0.25">
      <c r="A167" s="7">
        <v>45878</v>
      </c>
      <c r="B167" t="s">
        <v>66</v>
      </c>
      <c r="C167" t="s">
        <v>71</v>
      </c>
      <c r="D167">
        <v>2</v>
      </c>
      <c r="E167" s="4">
        <f>_xll.XLOOKUP(B167&amp;C167,[1]PriceList!$D:$D,[1]PriceList!$C:$C,0)</f>
        <v>110059</v>
      </c>
      <c r="F167" s="4">
        <f t="shared" si="3"/>
        <v>220118</v>
      </c>
    </row>
    <row r="168" spans="1:6" x14ac:dyDescent="0.25">
      <c r="A168" s="7">
        <v>45846</v>
      </c>
      <c r="B168" t="s">
        <v>67</v>
      </c>
      <c r="C168" t="s">
        <v>68</v>
      </c>
      <c r="D168">
        <v>1</v>
      </c>
      <c r="E168" s="4">
        <f>_xll.XLOOKUP(B168&amp;C168,[1]PriceList!$D:$D,[1]PriceList!$C:$C,0)</f>
        <v>207475</v>
      </c>
      <c r="F168" s="4">
        <f t="shared" si="3"/>
        <v>207475</v>
      </c>
    </row>
    <row r="169" spans="1:6" x14ac:dyDescent="0.25">
      <c r="A169" s="7">
        <v>45857</v>
      </c>
      <c r="B169" t="s">
        <v>64</v>
      </c>
      <c r="C169" t="s">
        <v>72</v>
      </c>
      <c r="D169">
        <v>1</v>
      </c>
      <c r="E169" s="4">
        <f>_xll.XLOOKUP(B169&amp;C169,[1]PriceList!$D:$D,[1]PriceList!$C:$C,0)</f>
        <v>468002</v>
      </c>
      <c r="F169" s="4">
        <f t="shared" si="3"/>
        <v>468002</v>
      </c>
    </row>
    <row r="170" spans="1:6" x14ac:dyDescent="0.25">
      <c r="A170" s="7">
        <v>45894</v>
      </c>
      <c r="C170" t="s">
        <v>68</v>
      </c>
      <c r="D170">
        <v>4</v>
      </c>
      <c r="E170" s="4">
        <f>_xll.XLOOKUP(B170&amp;C170,[1]PriceList!$D:$D,[1]PriceList!$C:$C,0)</f>
        <v>0</v>
      </c>
      <c r="F170" s="4">
        <f t="shared" si="3"/>
        <v>0</v>
      </c>
    </row>
    <row r="171" spans="1:6" x14ac:dyDescent="0.25">
      <c r="A171" s="7">
        <v>45841</v>
      </c>
      <c r="B171" t="s">
        <v>64</v>
      </c>
      <c r="C171" t="s">
        <v>70</v>
      </c>
      <c r="D171">
        <v>4</v>
      </c>
      <c r="E171" s="4">
        <f>_xll.XLOOKUP(B171&amp;C171,[1]PriceList!$D:$D,[1]PriceList!$C:$C,0)</f>
        <v>316210</v>
      </c>
      <c r="F171" s="4">
        <f t="shared" si="3"/>
        <v>1264840</v>
      </c>
    </row>
    <row r="172" spans="1:6" x14ac:dyDescent="0.25">
      <c r="A172" s="7">
        <v>45881</v>
      </c>
      <c r="B172" t="s">
        <v>64</v>
      </c>
      <c r="C172" t="s">
        <v>68</v>
      </c>
      <c r="D172">
        <v>1</v>
      </c>
      <c r="E172" s="4">
        <f>_xll.XLOOKUP(B172&amp;C172,[1]PriceList!$D:$D,[1]PriceList!$C:$C,0)</f>
        <v>169224</v>
      </c>
      <c r="F172" s="4">
        <f t="shared" si="3"/>
        <v>169224</v>
      </c>
    </row>
    <row r="173" spans="1:6" x14ac:dyDescent="0.25">
      <c r="A173" s="7">
        <v>45897</v>
      </c>
      <c r="B173" t="s">
        <v>67</v>
      </c>
      <c r="C173" t="s">
        <v>69</v>
      </c>
      <c r="D173">
        <v>4</v>
      </c>
      <c r="E173" s="4">
        <f>_xll.XLOOKUP(B173&amp;C173,[1]PriceList!$D:$D,[1]PriceList!$C:$C,0)</f>
        <v>533416</v>
      </c>
      <c r="F173" s="4">
        <f t="shared" si="3"/>
        <v>2133664</v>
      </c>
    </row>
    <row r="174" spans="1:6" x14ac:dyDescent="0.25">
      <c r="A174" s="7">
        <v>45842</v>
      </c>
      <c r="B174" t="s">
        <v>67</v>
      </c>
      <c r="C174" t="s">
        <v>74</v>
      </c>
      <c r="D174">
        <v>3</v>
      </c>
      <c r="E174" s="4">
        <f>_xll.XLOOKUP(B174&amp;C174,[1]PriceList!$D:$D,[1]PriceList!$C:$C,0)</f>
        <v>0</v>
      </c>
      <c r="F174" s="4">
        <f t="shared" si="3"/>
        <v>0</v>
      </c>
    </row>
    <row r="175" spans="1:6" x14ac:dyDescent="0.25">
      <c r="A175" s="7">
        <v>45842</v>
      </c>
      <c r="B175" t="s">
        <v>67</v>
      </c>
      <c r="C175" t="s">
        <v>70</v>
      </c>
      <c r="D175">
        <v>3</v>
      </c>
      <c r="E175" s="4">
        <f>_xll.XLOOKUP(B175&amp;C175,[1]PriceList!$D:$D,[1]PriceList!$C:$C,0)</f>
        <v>338604</v>
      </c>
      <c r="F175" s="4">
        <f t="shared" si="3"/>
        <v>1015812</v>
      </c>
    </row>
    <row r="176" spans="1:6" x14ac:dyDescent="0.25">
      <c r="A176" s="7">
        <v>45843</v>
      </c>
      <c r="B176" t="s">
        <v>64</v>
      </c>
      <c r="C176" t="s">
        <v>69</v>
      </c>
      <c r="D176">
        <v>1</v>
      </c>
      <c r="E176" s="4">
        <f>_xll.XLOOKUP(B176&amp;C176,[1]PriceList!$D:$D,[1]PriceList!$C:$C,0)</f>
        <v>504289</v>
      </c>
      <c r="F176" s="4">
        <f t="shared" si="3"/>
        <v>504289</v>
      </c>
    </row>
    <row r="177" spans="1:6" x14ac:dyDescent="0.25">
      <c r="A177" s="7">
        <v>45846</v>
      </c>
      <c r="B177" t="s">
        <v>66</v>
      </c>
      <c r="C177" t="s">
        <v>70</v>
      </c>
      <c r="D177">
        <v>2</v>
      </c>
      <c r="E177" s="4">
        <f>_xll.XLOOKUP(B177&amp;C177,[1]PriceList!$D:$D,[1]PriceList!$C:$C,0)</f>
        <v>335496</v>
      </c>
      <c r="F177" s="4">
        <f t="shared" si="3"/>
        <v>670992</v>
      </c>
    </row>
    <row r="178" spans="1:6" x14ac:dyDescent="0.25">
      <c r="A178" s="7">
        <v>45863</v>
      </c>
      <c r="B178" t="s">
        <v>66</v>
      </c>
      <c r="C178" t="s">
        <v>69</v>
      </c>
      <c r="D178">
        <v>1</v>
      </c>
      <c r="E178" s="4">
        <f>_xll.XLOOKUP(B178&amp;C178,[1]PriceList!$D:$D,[1]PriceList!$C:$C,0)</f>
        <v>524199</v>
      </c>
      <c r="F178" s="4">
        <f t="shared" si="3"/>
        <v>524199</v>
      </c>
    </row>
    <row r="179" spans="1:6" x14ac:dyDescent="0.25">
      <c r="A179" s="7">
        <v>45892</v>
      </c>
      <c r="B179" t="s">
        <v>65</v>
      </c>
      <c r="C179" t="s">
        <v>71</v>
      </c>
      <c r="D179">
        <v>3</v>
      </c>
      <c r="E179" s="4">
        <f>_xll.XLOOKUP(B179&amp;C179,[1]PriceList!$D:$D,[1]PriceList!$C:$C,0)</f>
        <v>86241</v>
      </c>
      <c r="F179" s="4">
        <f t="shared" si="3"/>
        <v>258723</v>
      </c>
    </row>
    <row r="180" spans="1:6" x14ac:dyDescent="0.25">
      <c r="A180" s="7">
        <v>45900</v>
      </c>
      <c r="B180" t="s">
        <v>65</v>
      </c>
      <c r="C180" t="s">
        <v>68</v>
      </c>
      <c r="D180">
        <v>3</v>
      </c>
      <c r="E180" s="4">
        <f>_xll.XLOOKUP(B180&amp;C180,[1]PriceList!$D:$D,[1]PriceList!$C:$C,0)</f>
        <v>170201</v>
      </c>
      <c r="F180" s="4">
        <f t="shared" si="3"/>
        <v>510603</v>
      </c>
    </row>
    <row r="181" spans="1:6" x14ac:dyDescent="0.25">
      <c r="A181" s="7">
        <v>45878</v>
      </c>
      <c r="B181" t="s">
        <v>67</v>
      </c>
      <c r="C181" t="s">
        <v>73</v>
      </c>
      <c r="D181">
        <v>3</v>
      </c>
      <c r="E181" s="4">
        <f>_xll.XLOOKUP(B181&amp;C181,[1]PriceList!$D:$D,[1]PriceList!$C:$C,0)</f>
        <v>239391</v>
      </c>
      <c r="F181" s="4">
        <f t="shared" si="3"/>
        <v>718173</v>
      </c>
    </row>
    <row r="182" spans="1:6" x14ac:dyDescent="0.25">
      <c r="A182" s="7">
        <v>45889</v>
      </c>
      <c r="B182" t="s">
        <v>66</v>
      </c>
      <c r="C182" t="s">
        <v>72</v>
      </c>
      <c r="D182">
        <v>5</v>
      </c>
      <c r="E182" s="4">
        <f>_xll.XLOOKUP(B182&amp;C182,[1]PriceList!$D:$D,[1]PriceList!$C:$C,0)</f>
        <v>442673</v>
      </c>
      <c r="F182" s="4">
        <f t="shared" si="3"/>
        <v>2213365</v>
      </c>
    </row>
    <row r="183" spans="1:6" x14ac:dyDescent="0.25">
      <c r="A183" s="7">
        <v>45865</v>
      </c>
      <c r="B183" t="s">
        <v>64</v>
      </c>
      <c r="C183" t="s">
        <v>72</v>
      </c>
      <c r="D183">
        <v>5</v>
      </c>
      <c r="E183" s="4">
        <f>_xll.XLOOKUP(B183&amp;C183,[1]PriceList!$D:$D,[1]PriceList!$C:$C,0)</f>
        <v>468002</v>
      </c>
      <c r="F183" s="4">
        <f t="shared" si="3"/>
        <v>2340010</v>
      </c>
    </row>
    <row r="184" spans="1:6" x14ac:dyDescent="0.25">
      <c r="A184" s="7">
        <v>45857</v>
      </c>
      <c r="B184" t="s">
        <v>66</v>
      </c>
      <c r="C184" t="s">
        <v>68</v>
      </c>
      <c r="D184">
        <v>4</v>
      </c>
      <c r="E184" s="4">
        <f>_xll.XLOOKUP(B184&amp;C184,[1]PriceList!$D:$D,[1]PriceList!$C:$C,0)</f>
        <v>200061</v>
      </c>
      <c r="F184" s="4">
        <f t="shared" si="3"/>
        <v>800244</v>
      </c>
    </row>
    <row r="185" spans="1:6" x14ac:dyDescent="0.25">
      <c r="A185" s="7">
        <v>45846</v>
      </c>
      <c r="B185" t="s">
        <v>66</v>
      </c>
      <c r="C185" t="s">
        <v>71</v>
      </c>
      <c r="D185">
        <v>4</v>
      </c>
      <c r="E185" s="4">
        <f>_xll.XLOOKUP(B185&amp;C185,[1]PriceList!$D:$D,[1]PriceList!$C:$C,0)</f>
        <v>110059</v>
      </c>
      <c r="F185" s="4">
        <f t="shared" si="3"/>
        <v>440236</v>
      </c>
    </row>
    <row r="186" spans="1:6" x14ac:dyDescent="0.25">
      <c r="A186" s="7">
        <v>45889</v>
      </c>
      <c r="B186" t="s">
        <v>65</v>
      </c>
      <c r="C186" t="s">
        <v>71</v>
      </c>
      <c r="D186">
        <v>4</v>
      </c>
      <c r="E186" s="4">
        <f>_xll.XLOOKUP(B186&amp;C186,[1]PriceList!$D:$D,[1]PriceList!$C:$C,0)</f>
        <v>86241</v>
      </c>
      <c r="F186" s="4">
        <f t="shared" si="3"/>
        <v>344964</v>
      </c>
    </row>
    <row r="187" spans="1:6" x14ac:dyDescent="0.25">
      <c r="A187" s="7">
        <v>45853</v>
      </c>
      <c r="B187" t="s">
        <v>65</v>
      </c>
      <c r="C187" t="s">
        <v>72</v>
      </c>
      <c r="D187">
        <v>3</v>
      </c>
      <c r="E187" s="4">
        <f>_xll.XLOOKUP(B187&amp;C187,[1]PriceList!$D:$D,[1]PriceList!$C:$C,0)</f>
        <v>434372</v>
      </c>
      <c r="F187" s="4">
        <f t="shared" si="3"/>
        <v>1303116</v>
      </c>
    </row>
    <row r="188" spans="1:6" x14ac:dyDescent="0.25">
      <c r="A188" s="7">
        <v>45855</v>
      </c>
      <c r="B188" t="s">
        <v>65</v>
      </c>
      <c r="C188" t="s">
        <v>72</v>
      </c>
      <c r="D188">
        <v>2</v>
      </c>
      <c r="E188" s="4">
        <f>_xll.XLOOKUP(B188&amp;C188,[1]PriceList!$D:$D,[1]PriceList!$C:$C,0)</f>
        <v>434372</v>
      </c>
      <c r="F188" s="4">
        <f t="shared" si="3"/>
        <v>868744</v>
      </c>
    </row>
    <row r="189" spans="1:6" x14ac:dyDescent="0.25">
      <c r="A189" s="7">
        <v>45891</v>
      </c>
      <c r="B189" t="s">
        <v>65</v>
      </c>
      <c r="C189" t="s">
        <v>68</v>
      </c>
      <c r="D189">
        <v>5</v>
      </c>
      <c r="E189" s="4">
        <f>_xll.XLOOKUP(B189&amp;C189,[1]PriceList!$D:$D,[1]PriceList!$C:$C,0)</f>
        <v>170201</v>
      </c>
      <c r="F189" s="4">
        <f t="shared" si="3"/>
        <v>851005</v>
      </c>
    </row>
    <row r="190" spans="1:6" x14ac:dyDescent="0.25">
      <c r="A190" s="7">
        <v>45872</v>
      </c>
      <c r="B190" t="s">
        <v>65</v>
      </c>
      <c r="C190" t="s">
        <v>68</v>
      </c>
      <c r="D190">
        <v>3</v>
      </c>
      <c r="E190" s="4">
        <f>_xll.XLOOKUP(B190&amp;C190,[1]PriceList!$D:$D,[1]PriceList!$C:$C,0)</f>
        <v>170201</v>
      </c>
      <c r="F190" s="4">
        <f t="shared" si="3"/>
        <v>510603</v>
      </c>
    </row>
    <row r="191" spans="1:6" x14ac:dyDescent="0.25">
      <c r="A191" s="7">
        <v>45855</v>
      </c>
      <c r="B191" t="s">
        <v>65</v>
      </c>
      <c r="C191" t="s">
        <v>71</v>
      </c>
      <c r="D191">
        <v>1</v>
      </c>
      <c r="E191" s="4">
        <f>_xll.XLOOKUP(B191&amp;C191,[1]PriceList!$D:$D,[1]PriceList!$C:$C,0)</f>
        <v>86241</v>
      </c>
      <c r="F191" s="4">
        <f t="shared" si="3"/>
        <v>86241</v>
      </c>
    </row>
    <row r="192" spans="1:6" x14ac:dyDescent="0.25">
      <c r="A192" s="7">
        <v>45840</v>
      </c>
      <c r="B192" t="s">
        <v>67</v>
      </c>
      <c r="C192" t="s">
        <v>70</v>
      </c>
      <c r="D192">
        <v>2</v>
      </c>
      <c r="E192" s="4">
        <f>_xll.XLOOKUP(B192&amp;C192,[1]PriceList!$D:$D,[1]PriceList!$C:$C,0)</f>
        <v>338604</v>
      </c>
      <c r="F192" s="4">
        <f t="shared" si="3"/>
        <v>677208</v>
      </c>
    </row>
    <row r="193" spans="1:6" x14ac:dyDescent="0.25">
      <c r="A193" s="7">
        <v>45856</v>
      </c>
      <c r="B193" t="s">
        <v>64</v>
      </c>
      <c r="C193" t="s">
        <v>72</v>
      </c>
      <c r="D193">
        <v>1</v>
      </c>
      <c r="E193" s="4">
        <f>_xll.XLOOKUP(B193&amp;C193,[1]PriceList!$D:$D,[1]PriceList!$C:$C,0)</f>
        <v>468002</v>
      </c>
      <c r="F193" s="4">
        <f t="shared" si="3"/>
        <v>468002</v>
      </c>
    </row>
    <row r="194" spans="1:6" x14ac:dyDescent="0.25">
      <c r="A194" s="7">
        <v>45855</v>
      </c>
      <c r="B194" t="s">
        <v>65</v>
      </c>
      <c r="C194" t="s">
        <v>70</v>
      </c>
      <c r="D194">
        <v>1</v>
      </c>
      <c r="E194" s="4">
        <f>_xll.XLOOKUP(B194&amp;C194,[1]PriceList!$D:$D,[1]PriceList!$C:$C,0)</f>
        <v>302904</v>
      </c>
      <c r="F194" s="4">
        <f t="shared" si="3"/>
        <v>302904</v>
      </c>
    </row>
    <row r="195" spans="1:6" x14ac:dyDescent="0.25">
      <c r="A195" s="7">
        <v>45872</v>
      </c>
      <c r="B195" t="s">
        <v>64</v>
      </c>
      <c r="C195" t="s">
        <v>69</v>
      </c>
      <c r="D195">
        <v>3</v>
      </c>
      <c r="E195" s="4">
        <f>_xll.XLOOKUP(B195&amp;C195,[1]PriceList!$D:$D,[1]PriceList!$C:$C,0)</f>
        <v>504289</v>
      </c>
      <c r="F195" s="4">
        <f t="shared" si="3"/>
        <v>1512867</v>
      </c>
    </row>
    <row r="196" spans="1:6" x14ac:dyDescent="0.25">
      <c r="A196" s="7">
        <v>45863</v>
      </c>
      <c r="B196" t="s">
        <v>64</v>
      </c>
      <c r="C196" t="s">
        <v>69</v>
      </c>
      <c r="D196">
        <v>2</v>
      </c>
      <c r="E196" s="4">
        <f>_xll.XLOOKUP(B196&amp;C196,[1]PriceList!$D:$D,[1]PriceList!$C:$C,0)</f>
        <v>504289</v>
      </c>
      <c r="F196" s="4">
        <f t="shared" si="3"/>
        <v>1008578</v>
      </c>
    </row>
    <row r="197" spans="1:6" x14ac:dyDescent="0.25">
      <c r="A197" s="7">
        <v>45882</v>
      </c>
      <c r="C197" t="s">
        <v>70</v>
      </c>
      <c r="D197">
        <v>5</v>
      </c>
      <c r="E197" s="4">
        <f>_xll.XLOOKUP(B197&amp;C197,[1]PriceList!$D:$D,[1]PriceList!$C:$C,0)</f>
        <v>0</v>
      </c>
      <c r="F197" s="4">
        <f t="shared" si="3"/>
        <v>0</v>
      </c>
    </row>
    <row r="198" spans="1:6" x14ac:dyDescent="0.25">
      <c r="A198" s="7">
        <v>45888</v>
      </c>
      <c r="B198" t="s">
        <v>65</v>
      </c>
      <c r="C198" t="s">
        <v>70</v>
      </c>
      <c r="D198">
        <v>4</v>
      </c>
      <c r="E198" s="4">
        <f>_xll.XLOOKUP(B198&amp;C198,[1]PriceList!$D:$D,[1]PriceList!$C:$C,0)</f>
        <v>302904</v>
      </c>
      <c r="F198" s="4">
        <f t="shared" si="3"/>
        <v>1211616</v>
      </c>
    </row>
    <row r="199" spans="1:6" x14ac:dyDescent="0.25">
      <c r="A199" s="7">
        <v>45883</v>
      </c>
      <c r="B199" t="s">
        <v>67</v>
      </c>
      <c r="C199" t="s">
        <v>72</v>
      </c>
      <c r="D199">
        <v>4</v>
      </c>
      <c r="E199" s="4">
        <f>_xll.XLOOKUP(B199&amp;C199,[1]PriceList!$D:$D,[1]PriceList!$C:$C,0)</f>
        <v>473548</v>
      </c>
      <c r="F199" s="4">
        <f t="shared" si="3"/>
        <v>1894192</v>
      </c>
    </row>
    <row r="200" spans="1:6" x14ac:dyDescent="0.25">
      <c r="A200" s="7">
        <v>45874</v>
      </c>
      <c r="B200" t="s">
        <v>66</v>
      </c>
      <c r="C200" t="s">
        <v>69</v>
      </c>
      <c r="D200">
        <v>4</v>
      </c>
      <c r="E200" s="4">
        <f>_xll.XLOOKUP(B200&amp;C200,[1]PriceList!$D:$D,[1]PriceList!$C:$C,0)</f>
        <v>524199</v>
      </c>
      <c r="F200" s="4">
        <f t="shared" si="3"/>
        <v>2096796</v>
      </c>
    </row>
    <row r="201" spans="1:6" x14ac:dyDescent="0.25">
      <c r="A201" s="7">
        <v>45889</v>
      </c>
      <c r="B201" t="s">
        <v>66</v>
      </c>
      <c r="C201" t="s">
        <v>70</v>
      </c>
      <c r="D201">
        <v>3</v>
      </c>
      <c r="E201" s="4">
        <f>_xll.XLOOKUP(B201&amp;C201,[1]PriceList!$D:$D,[1]PriceList!$C:$C,0)</f>
        <v>335496</v>
      </c>
      <c r="F201" s="4">
        <f t="shared" ref="F201:F264" si="4">D201*E201</f>
        <v>1006488</v>
      </c>
    </row>
    <row r="202" spans="1:6" x14ac:dyDescent="0.25">
      <c r="A202" s="7">
        <v>45857</v>
      </c>
      <c r="B202" t="s">
        <v>67</v>
      </c>
      <c r="C202" t="s">
        <v>69</v>
      </c>
      <c r="D202">
        <v>5</v>
      </c>
      <c r="E202" s="4">
        <f>_xll.XLOOKUP(B202&amp;C202,[1]PriceList!$D:$D,[1]PriceList!$C:$C,0)</f>
        <v>533416</v>
      </c>
      <c r="F202" s="4">
        <f t="shared" si="4"/>
        <v>2667080</v>
      </c>
    </row>
    <row r="203" spans="1:6" x14ac:dyDescent="0.25">
      <c r="A203" s="7">
        <v>45859</v>
      </c>
      <c r="B203" t="s">
        <v>67</v>
      </c>
      <c r="C203" t="s">
        <v>74</v>
      </c>
      <c r="D203">
        <v>4</v>
      </c>
      <c r="E203" s="4">
        <f>_xll.XLOOKUP(B203&amp;C203,[1]PriceList!$D:$D,[1]PriceList!$C:$C,0)</f>
        <v>0</v>
      </c>
      <c r="F203" s="4">
        <f t="shared" si="4"/>
        <v>0</v>
      </c>
    </row>
    <row r="204" spans="1:6" x14ac:dyDescent="0.25">
      <c r="A204" s="7">
        <v>45853</v>
      </c>
      <c r="B204" t="s">
        <v>67</v>
      </c>
      <c r="C204" t="s">
        <v>72</v>
      </c>
      <c r="D204">
        <v>1</v>
      </c>
      <c r="E204" s="4">
        <f>_xll.XLOOKUP(B204&amp;C204,[1]PriceList!$D:$D,[1]PriceList!$C:$C,0)</f>
        <v>473548</v>
      </c>
      <c r="F204" s="4">
        <f t="shared" si="4"/>
        <v>473548</v>
      </c>
    </row>
    <row r="205" spans="1:6" x14ac:dyDescent="0.25">
      <c r="A205" s="7">
        <v>45889</v>
      </c>
      <c r="B205" t="s">
        <v>64</v>
      </c>
      <c r="C205" t="s">
        <v>72</v>
      </c>
      <c r="D205">
        <v>3</v>
      </c>
      <c r="E205" s="4">
        <f>_xll.XLOOKUP(B205&amp;C205,[1]PriceList!$D:$D,[1]PriceList!$C:$C,0)</f>
        <v>468002</v>
      </c>
      <c r="F205" s="4">
        <f t="shared" si="4"/>
        <v>1404006</v>
      </c>
    </row>
    <row r="206" spans="1:6" x14ac:dyDescent="0.25">
      <c r="A206" s="7">
        <v>45856</v>
      </c>
      <c r="B206" t="s">
        <v>65</v>
      </c>
      <c r="C206" t="s">
        <v>68</v>
      </c>
      <c r="D206">
        <v>2</v>
      </c>
      <c r="E206" s="4">
        <f>_xll.XLOOKUP(B206&amp;C206,[1]PriceList!$D:$D,[1]PriceList!$C:$C,0)</f>
        <v>170201</v>
      </c>
      <c r="F206" s="4">
        <f t="shared" si="4"/>
        <v>340402</v>
      </c>
    </row>
    <row r="207" spans="1:6" x14ac:dyDescent="0.25">
      <c r="A207" s="7">
        <v>45865</v>
      </c>
      <c r="B207" t="s">
        <v>64</v>
      </c>
      <c r="C207" t="s">
        <v>69</v>
      </c>
      <c r="D207">
        <v>1</v>
      </c>
      <c r="E207" s="4">
        <f>_xll.XLOOKUP(B207&amp;C207,[1]PriceList!$D:$D,[1]PriceList!$C:$C,0)</f>
        <v>504289</v>
      </c>
      <c r="F207" s="4">
        <f t="shared" si="4"/>
        <v>504289</v>
      </c>
    </row>
    <row r="208" spans="1:6" x14ac:dyDescent="0.25">
      <c r="A208" s="7">
        <v>45857</v>
      </c>
      <c r="B208" t="s">
        <v>65</v>
      </c>
      <c r="C208" t="s">
        <v>74</v>
      </c>
      <c r="D208">
        <v>1</v>
      </c>
      <c r="E208" s="4">
        <f>_xll.XLOOKUP(B208&amp;C208,[1]PriceList!$D:$D,[1]PriceList!$C:$C,0)</f>
        <v>0</v>
      </c>
      <c r="F208" s="4">
        <f t="shared" si="4"/>
        <v>0</v>
      </c>
    </row>
    <row r="209" spans="1:6" x14ac:dyDescent="0.25">
      <c r="A209" s="7">
        <v>45878</v>
      </c>
      <c r="B209" t="s">
        <v>67</v>
      </c>
      <c r="C209" t="s">
        <v>69</v>
      </c>
      <c r="D209">
        <v>4</v>
      </c>
      <c r="E209" s="4">
        <f>_xll.XLOOKUP(B209&amp;C209,[1]PriceList!$D:$D,[1]PriceList!$C:$C,0)</f>
        <v>533416</v>
      </c>
      <c r="F209" s="4">
        <f t="shared" si="4"/>
        <v>2133664</v>
      </c>
    </row>
    <row r="210" spans="1:6" x14ac:dyDescent="0.25">
      <c r="A210" s="7">
        <v>45884</v>
      </c>
      <c r="B210" t="s">
        <v>64</v>
      </c>
      <c r="C210" t="s">
        <v>73</v>
      </c>
      <c r="D210">
        <v>3</v>
      </c>
      <c r="E210" s="4">
        <f>_xll.XLOOKUP(B210&amp;C210,[1]PriceList!$D:$D,[1]PriceList!$C:$C,0)</f>
        <v>218712</v>
      </c>
      <c r="F210" s="4">
        <f t="shared" si="4"/>
        <v>656136</v>
      </c>
    </row>
    <row r="211" spans="1:6" x14ac:dyDescent="0.25">
      <c r="A211" s="7">
        <v>45877</v>
      </c>
      <c r="B211" t="s">
        <v>67</v>
      </c>
      <c r="C211" t="s">
        <v>68</v>
      </c>
      <c r="D211">
        <v>2</v>
      </c>
      <c r="E211" s="4">
        <f>_xll.XLOOKUP(B211&amp;C211,[1]PriceList!$D:$D,[1]PriceList!$C:$C,0)</f>
        <v>207475</v>
      </c>
      <c r="F211" s="4">
        <f t="shared" si="4"/>
        <v>414950</v>
      </c>
    </row>
    <row r="212" spans="1:6" x14ac:dyDescent="0.25">
      <c r="A212" s="7">
        <v>45845</v>
      </c>
      <c r="B212" t="s">
        <v>64</v>
      </c>
      <c r="C212" t="s">
        <v>71</v>
      </c>
      <c r="D212">
        <v>4</v>
      </c>
      <c r="E212" s="4">
        <f>_xll.XLOOKUP(B212&amp;C212,[1]PriceList!$D:$D,[1]PriceList!$C:$C,0)</f>
        <v>80742</v>
      </c>
      <c r="F212" s="4">
        <f t="shared" si="4"/>
        <v>322968</v>
      </c>
    </row>
    <row r="213" spans="1:6" x14ac:dyDescent="0.25">
      <c r="A213" s="7">
        <v>45858</v>
      </c>
      <c r="B213" t="s">
        <v>65</v>
      </c>
      <c r="C213" t="s">
        <v>68</v>
      </c>
      <c r="D213">
        <v>5</v>
      </c>
      <c r="E213" s="4">
        <f>_xll.XLOOKUP(B213&amp;C213,[1]PriceList!$D:$D,[1]PriceList!$C:$C,0)</f>
        <v>170201</v>
      </c>
      <c r="F213" s="4">
        <f t="shared" si="4"/>
        <v>851005</v>
      </c>
    </row>
    <row r="214" spans="1:6" x14ac:dyDescent="0.25">
      <c r="A214" s="7">
        <v>45849</v>
      </c>
      <c r="B214" t="s">
        <v>64</v>
      </c>
      <c r="C214" t="s">
        <v>70</v>
      </c>
      <c r="D214">
        <v>2</v>
      </c>
      <c r="E214" s="4">
        <f>_xll.XLOOKUP(B214&amp;C214,[1]PriceList!$D:$D,[1]PriceList!$C:$C,0)</f>
        <v>316210</v>
      </c>
      <c r="F214" s="4">
        <f t="shared" si="4"/>
        <v>632420</v>
      </c>
    </row>
    <row r="215" spans="1:6" x14ac:dyDescent="0.25">
      <c r="A215" s="7">
        <v>45848</v>
      </c>
      <c r="B215" t="s">
        <v>64</v>
      </c>
      <c r="C215" t="s">
        <v>69</v>
      </c>
      <c r="D215">
        <v>1</v>
      </c>
      <c r="E215" s="4">
        <f>_xll.XLOOKUP(B215&amp;C215,[1]PriceList!$D:$D,[1]PriceList!$C:$C,0)</f>
        <v>504289</v>
      </c>
      <c r="F215" s="4">
        <f t="shared" si="4"/>
        <v>504289</v>
      </c>
    </row>
    <row r="216" spans="1:6" x14ac:dyDescent="0.25">
      <c r="A216" s="7">
        <v>45896</v>
      </c>
      <c r="B216" t="s">
        <v>66</v>
      </c>
      <c r="C216" t="s">
        <v>68</v>
      </c>
      <c r="D216">
        <v>5</v>
      </c>
      <c r="E216" s="4">
        <f>_xll.XLOOKUP(B216&amp;C216,[1]PriceList!$D:$D,[1]PriceList!$C:$C,0)</f>
        <v>200061</v>
      </c>
      <c r="F216" s="4">
        <f t="shared" si="4"/>
        <v>1000305</v>
      </c>
    </row>
    <row r="217" spans="1:6" x14ac:dyDescent="0.25">
      <c r="A217" s="7">
        <v>45859</v>
      </c>
      <c r="B217" t="s">
        <v>65</v>
      </c>
      <c r="C217" t="s">
        <v>73</v>
      </c>
      <c r="D217">
        <v>3</v>
      </c>
      <c r="E217" s="4">
        <f>_xll.XLOOKUP(B217&amp;C217,[1]PriceList!$D:$D,[1]PriceList!$C:$C,0)</f>
        <v>232909</v>
      </c>
      <c r="F217" s="4">
        <f t="shared" si="4"/>
        <v>698727</v>
      </c>
    </row>
    <row r="218" spans="1:6" x14ac:dyDescent="0.25">
      <c r="A218" s="7">
        <v>45846</v>
      </c>
      <c r="C218" t="s">
        <v>72</v>
      </c>
      <c r="D218">
        <v>3</v>
      </c>
      <c r="E218" s="4">
        <f>_xll.XLOOKUP(B218&amp;C218,[1]PriceList!$D:$D,[1]PriceList!$C:$C,0)</f>
        <v>0</v>
      </c>
      <c r="F218" s="4">
        <f t="shared" si="4"/>
        <v>0</v>
      </c>
    </row>
    <row r="219" spans="1:6" x14ac:dyDescent="0.25">
      <c r="A219" s="7">
        <v>45859</v>
      </c>
      <c r="B219" t="s">
        <v>65</v>
      </c>
      <c r="C219" t="s">
        <v>69</v>
      </c>
      <c r="D219">
        <v>5</v>
      </c>
      <c r="E219" s="4">
        <f>_xll.XLOOKUP(B219&amp;C219,[1]PriceList!$D:$D,[1]PriceList!$C:$C,0)</f>
        <v>532597</v>
      </c>
      <c r="F219" s="4">
        <f t="shared" si="4"/>
        <v>2662985</v>
      </c>
    </row>
    <row r="220" spans="1:6" x14ac:dyDescent="0.25">
      <c r="A220" s="7">
        <v>45857</v>
      </c>
      <c r="B220" t="s">
        <v>67</v>
      </c>
      <c r="C220" t="s">
        <v>72</v>
      </c>
      <c r="D220">
        <v>4</v>
      </c>
      <c r="E220" s="4">
        <f>_xll.XLOOKUP(B220&amp;C220,[1]PriceList!$D:$D,[1]PriceList!$C:$C,0)</f>
        <v>473548</v>
      </c>
      <c r="F220" s="4">
        <f t="shared" si="4"/>
        <v>1894192</v>
      </c>
    </row>
    <row r="221" spans="1:6" x14ac:dyDescent="0.25">
      <c r="A221" s="7">
        <v>45853</v>
      </c>
      <c r="B221" t="s">
        <v>66</v>
      </c>
      <c r="C221" t="s">
        <v>71</v>
      </c>
      <c r="D221">
        <v>2</v>
      </c>
      <c r="E221" s="4">
        <f>_xll.XLOOKUP(B221&amp;C221,[1]PriceList!$D:$D,[1]PriceList!$C:$C,0)</f>
        <v>110059</v>
      </c>
      <c r="F221" s="4">
        <f t="shared" si="4"/>
        <v>220118</v>
      </c>
    </row>
    <row r="222" spans="1:6" x14ac:dyDescent="0.25">
      <c r="A222" s="7">
        <v>45861</v>
      </c>
      <c r="B222" t="s">
        <v>65</v>
      </c>
      <c r="C222" t="s">
        <v>69</v>
      </c>
      <c r="D222">
        <v>1</v>
      </c>
      <c r="E222" s="4">
        <f>_xll.XLOOKUP(B222&amp;C222,[1]PriceList!$D:$D,[1]PriceList!$C:$C,0)</f>
        <v>532597</v>
      </c>
      <c r="F222" s="4">
        <f t="shared" si="4"/>
        <v>532597</v>
      </c>
    </row>
    <row r="223" spans="1:6" x14ac:dyDescent="0.25">
      <c r="A223" s="7">
        <v>45898</v>
      </c>
      <c r="B223" t="s">
        <v>64</v>
      </c>
      <c r="C223" t="s">
        <v>68</v>
      </c>
      <c r="D223">
        <v>3</v>
      </c>
      <c r="E223" s="4">
        <f>_xll.XLOOKUP(B223&amp;C223,[1]PriceList!$D:$D,[1]PriceList!$C:$C,0)</f>
        <v>169224</v>
      </c>
      <c r="F223" s="4">
        <f t="shared" si="4"/>
        <v>507672</v>
      </c>
    </row>
    <row r="224" spans="1:6" x14ac:dyDescent="0.25">
      <c r="A224" s="7">
        <v>45873</v>
      </c>
      <c r="C224" t="s">
        <v>70</v>
      </c>
      <c r="D224">
        <v>2</v>
      </c>
      <c r="E224" s="4">
        <f>_xll.XLOOKUP(B224&amp;C224,[1]PriceList!$D:$D,[1]PriceList!$C:$C,0)</f>
        <v>0</v>
      </c>
      <c r="F224" s="4">
        <f t="shared" si="4"/>
        <v>0</v>
      </c>
    </row>
    <row r="225" spans="1:6" x14ac:dyDescent="0.25">
      <c r="A225" s="7">
        <v>45886</v>
      </c>
      <c r="B225" t="s">
        <v>65</v>
      </c>
      <c r="C225" t="s">
        <v>71</v>
      </c>
      <c r="D225">
        <v>2</v>
      </c>
      <c r="E225" s="4">
        <f>_xll.XLOOKUP(B225&amp;C225,[1]PriceList!$D:$D,[1]PriceList!$C:$C,0)</f>
        <v>86241</v>
      </c>
      <c r="F225" s="4">
        <f t="shared" si="4"/>
        <v>172482</v>
      </c>
    </row>
    <row r="226" spans="1:6" x14ac:dyDescent="0.25">
      <c r="A226" s="7">
        <v>45861</v>
      </c>
      <c r="B226" t="s">
        <v>65</v>
      </c>
      <c r="C226" t="s">
        <v>68</v>
      </c>
      <c r="D226">
        <v>4</v>
      </c>
      <c r="E226" s="4">
        <f>_xll.XLOOKUP(B226&amp;C226,[1]PriceList!$D:$D,[1]PriceList!$C:$C,0)</f>
        <v>170201</v>
      </c>
      <c r="F226" s="4">
        <f t="shared" si="4"/>
        <v>680804</v>
      </c>
    </row>
    <row r="227" spans="1:6" x14ac:dyDescent="0.25">
      <c r="A227" s="7">
        <v>45862</v>
      </c>
      <c r="B227" t="s">
        <v>64</v>
      </c>
      <c r="C227" t="s">
        <v>70</v>
      </c>
      <c r="D227">
        <v>2</v>
      </c>
      <c r="E227" s="4">
        <f>_xll.XLOOKUP(B227&amp;C227,[1]PriceList!$D:$D,[1]PriceList!$C:$C,0)</f>
        <v>316210</v>
      </c>
      <c r="F227" s="4">
        <f t="shared" si="4"/>
        <v>632420</v>
      </c>
    </row>
    <row r="228" spans="1:6" x14ac:dyDescent="0.25">
      <c r="A228" s="7">
        <v>45881</v>
      </c>
      <c r="B228" t="s">
        <v>64</v>
      </c>
      <c r="C228" t="s">
        <v>74</v>
      </c>
      <c r="D228">
        <v>1</v>
      </c>
      <c r="E228" s="4">
        <f>_xll.XLOOKUP(B228&amp;C228,[1]PriceList!$D:$D,[1]PriceList!$C:$C,0)</f>
        <v>0</v>
      </c>
      <c r="F228" s="4">
        <f t="shared" si="4"/>
        <v>0</v>
      </c>
    </row>
    <row r="229" spans="1:6" x14ac:dyDescent="0.25">
      <c r="A229" s="7">
        <v>45889</v>
      </c>
      <c r="B229" t="s">
        <v>65</v>
      </c>
      <c r="C229" t="s">
        <v>72</v>
      </c>
      <c r="D229">
        <v>4</v>
      </c>
      <c r="E229" s="4">
        <f>_xll.XLOOKUP(B229&amp;C229,[1]PriceList!$D:$D,[1]PriceList!$C:$C,0)</f>
        <v>434372</v>
      </c>
      <c r="F229" s="4">
        <f t="shared" si="4"/>
        <v>1737488</v>
      </c>
    </row>
    <row r="230" spans="1:6" x14ac:dyDescent="0.25">
      <c r="A230" s="7">
        <v>45862</v>
      </c>
      <c r="B230" t="s">
        <v>65</v>
      </c>
      <c r="C230" t="s">
        <v>70</v>
      </c>
      <c r="D230">
        <v>1</v>
      </c>
      <c r="E230" s="4">
        <f>_xll.XLOOKUP(B230&amp;C230,[1]PriceList!$D:$D,[1]PriceList!$C:$C,0)</f>
        <v>302904</v>
      </c>
      <c r="F230" s="4">
        <f t="shared" si="4"/>
        <v>302904</v>
      </c>
    </row>
    <row r="231" spans="1:6" x14ac:dyDescent="0.25">
      <c r="A231" s="7">
        <v>45853</v>
      </c>
      <c r="B231" t="s">
        <v>67</v>
      </c>
      <c r="C231" t="s">
        <v>70</v>
      </c>
      <c r="D231">
        <v>1</v>
      </c>
      <c r="E231" s="4">
        <f>_xll.XLOOKUP(B231&amp;C231,[1]PriceList!$D:$D,[1]PriceList!$C:$C,0)</f>
        <v>338604</v>
      </c>
      <c r="F231" s="4">
        <f t="shared" si="4"/>
        <v>338604</v>
      </c>
    </row>
    <row r="232" spans="1:6" x14ac:dyDescent="0.25">
      <c r="A232" s="7">
        <v>45862</v>
      </c>
      <c r="B232" t="s">
        <v>65</v>
      </c>
      <c r="C232" t="s">
        <v>73</v>
      </c>
      <c r="D232">
        <v>4</v>
      </c>
      <c r="E232" s="4">
        <f>_xll.XLOOKUP(B232&amp;C232,[1]PriceList!$D:$D,[1]PriceList!$C:$C,0)</f>
        <v>232909</v>
      </c>
      <c r="F232" s="4">
        <f t="shared" si="4"/>
        <v>931636</v>
      </c>
    </row>
    <row r="233" spans="1:6" x14ac:dyDescent="0.25">
      <c r="A233" s="7">
        <v>45844</v>
      </c>
      <c r="B233" t="s">
        <v>66</v>
      </c>
      <c r="C233" t="s">
        <v>72</v>
      </c>
      <c r="D233">
        <v>1</v>
      </c>
      <c r="E233" s="4">
        <f>_xll.XLOOKUP(B233&amp;C233,[1]PriceList!$D:$D,[1]PriceList!$C:$C,0)</f>
        <v>442673</v>
      </c>
      <c r="F233" s="4">
        <f t="shared" si="4"/>
        <v>442673</v>
      </c>
    </row>
    <row r="234" spans="1:6" x14ac:dyDescent="0.25">
      <c r="A234" s="7">
        <v>45880</v>
      </c>
      <c r="B234" t="s">
        <v>66</v>
      </c>
      <c r="C234" t="s">
        <v>73</v>
      </c>
      <c r="D234">
        <v>4</v>
      </c>
      <c r="E234" s="4">
        <f>_xll.XLOOKUP(B234&amp;C234,[1]PriceList!$D:$D,[1]PriceList!$C:$C,0)</f>
        <v>218017</v>
      </c>
      <c r="F234" s="4">
        <f t="shared" si="4"/>
        <v>872068</v>
      </c>
    </row>
    <row r="235" spans="1:6" x14ac:dyDescent="0.25">
      <c r="A235" s="7">
        <v>45844</v>
      </c>
      <c r="B235" t="s">
        <v>66</v>
      </c>
      <c r="C235" t="s">
        <v>70</v>
      </c>
      <c r="D235">
        <v>4</v>
      </c>
      <c r="E235" s="4">
        <f>_xll.XLOOKUP(B235&amp;C235,[1]PriceList!$D:$D,[1]PriceList!$C:$C,0)</f>
        <v>335496</v>
      </c>
      <c r="F235" s="4">
        <f t="shared" si="4"/>
        <v>1341984</v>
      </c>
    </row>
    <row r="236" spans="1:6" x14ac:dyDescent="0.25">
      <c r="A236" s="7">
        <v>45845</v>
      </c>
      <c r="B236" t="s">
        <v>64</v>
      </c>
      <c r="C236" t="s">
        <v>68</v>
      </c>
      <c r="D236">
        <v>4</v>
      </c>
      <c r="E236" s="4">
        <f>_xll.XLOOKUP(B236&amp;C236,[1]PriceList!$D:$D,[1]PriceList!$C:$C,0)</f>
        <v>169224</v>
      </c>
      <c r="F236" s="4">
        <f t="shared" si="4"/>
        <v>676896</v>
      </c>
    </row>
    <row r="237" spans="1:6" x14ac:dyDescent="0.25">
      <c r="A237" s="7">
        <v>45857</v>
      </c>
      <c r="B237" t="s">
        <v>67</v>
      </c>
      <c r="C237" t="s">
        <v>69</v>
      </c>
      <c r="D237">
        <v>2</v>
      </c>
      <c r="E237" s="4">
        <f>_xll.XLOOKUP(B237&amp;C237,[1]PriceList!$D:$D,[1]PriceList!$C:$C,0)</f>
        <v>533416</v>
      </c>
      <c r="F237" s="4">
        <f t="shared" si="4"/>
        <v>1066832</v>
      </c>
    </row>
    <row r="238" spans="1:6" x14ac:dyDescent="0.25">
      <c r="A238" s="7">
        <v>45864</v>
      </c>
      <c r="B238" t="s">
        <v>65</v>
      </c>
      <c r="C238" t="s">
        <v>73</v>
      </c>
      <c r="D238">
        <v>5</v>
      </c>
      <c r="E238" s="4">
        <f>_xll.XLOOKUP(B238&amp;C238,[1]PriceList!$D:$D,[1]PriceList!$C:$C,0)</f>
        <v>232909</v>
      </c>
      <c r="F238" s="4">
        <f t="shared" si="4"/>
        <v>1164545</v>
      </c>
    </row>
    <row r="239" spans="1:6" x14ac:dyDescent="0.25">
      <c r="A239" s="7">
        <v>45873</v>
      </c>
      <c r="B239" t="s">
        <v>65</v>
      </c>
      <c r="C239" t="s">
        <v>71</v>
      </c>
      <c r="D239">
        <v>4</v>
      </c>
      <c r="E239" s="4">
        <f>_xll.XLOOKUP(B239&amp;C239,[1]PriceList!$D:$D,[1]PriceList!$C:$C,0)</f>
        <v>86241</v>
      </c>
      <c r="F239" s="4">
        <f t="shared" si="4"/>
        <v>344964</v>
      </c>
    </row>
    <row r="240" spans="1:6" x14ac:dyDescent="0.25">
      <c r="A240" s="7">
        <v>45888</v>
      </c>
      <c r="B240" t="s">
        <v>67</v>
      </c>
      <c r="C240" t="s">
        <v>72</v>
      </c>
      <c r="D240">
        <v>1</v>
      </c>
      <c r="E240" s="4">
        <f>_xll.XLOOKUP(B240&amp;C240,[1]PriceList!$D:$D,[1]PriceList!$C:$C,0)</f>
        <v>473548</v>
      </c>
      <c r="F240" s="4">
        <f t="shared" si="4"/>
        <v>473548</v>
      </c>
    </row>
    <row r="241" spans="1:6" x14ac:dyDescent="0.25">
      <c r="A241" s="7">
        <v>45865</v>
      </c>
      <c r="B241" t="s">
        <v>65</v>
      </c>
      <c r="C241" t="s">
        <v>73</v>
      </c>
      <c r="D241">
        <v>5</v>
      </c>
      <c r="E241" s="4">
        <f>_xll.XLOOKUP(B241&amp;C241,[1]PriceList!$D:$D,[1]PriceList!$C:$C,0)</f>
        <v>232909</v>
      </c>
      <c r="F241" s="4">
        <f t="shared" si="4"/>
        <v>1164545</v>
      </c>
    </row>
    <row r="242" spans="1:6" x14ac:dyDescent="0.25">
      <c r="A242" s="7">
        <v>45842</v>
      </c>
      <c r="B242" t="s">
        <v>67</v>
      </c>
      <c r="C242" t="s">
        <v>71</v>
      </c>
      <c r="D242">
        <v>2</v>
      </c>
      <c r="E242" s="4">
        <f>_xll.XLOOKUP(B242&amp;C242,[1]PriceList!$D:$D,[1]PriceList!$C:$C,0)</f>
        <v>121595</v>
      </c>
      <c r="F242" s="4">
        <f t="shared" si="4"/>
        <v>243190</v>
      </c>
    </row>
    <row r="243" spans="1:6" x14ac:dyDescent="0.25">
      <c r="A243" s="7">
        <v>45886</v>
      </c>
      <c r="B243" t="s">
        <v>64</v>
      </c>
      <c r="C243" t="s">
        <v>72</v>
      </c>
      <c r="D243">
        <v>3</v>
      </c>
      <c r="E243" s="4">
        <f>_xll.XLOOKUP(B243&amp;C243,[1]PriceList!$D:$D,[1]PriceList!$C:$C,0)</f>
        <v>468002</v>
      </c>
      <c r="F243" s="4">
        <f t="shared" si="4"/>
        <v>1404006</v>
      </c>
    </row>
    <row r="244" spans="1:6" x14ac:dyDescent="0.25">
      <c r="A244" s="7">
        <v>45865</v>
      </c>
      <c r="B244" t="s">
        <v>67</v>
      </c>
      <c r="C244" t="s">
        <v>74</v>
      </c>
      <c r="D244">
        <v>4</v>
      </c>
      <c r="E244" s="4">
        <f>_xll.XLOOKUP(B244&amp;C244,[1]PriceList!$D:$D,[1]PriceList!$C:$C,0)</f>
        <v>0</v>
      </c>
      <c r="F244" s="4">
        <f t="shared" si="4"/>
        <v>0</v>
      </c>
    </row>
    <row r="245" spans="1:6" x14ac:dyDescent="0.25">
      <c r="A245" s="7">
        <v>45873</v>
      </c>
      <c r="B245" t="s">
        <v>67</v>
      </c>
      <c r="C245" t="s">
        <v>69</v>
      </c>
      <c r="D245">
        <v>4</v>
      </c>
      <c r="E245" s="4">
        <f>_xll.XLOOKUP(B245&amp;C245,[1]PriceList!$D:$D,[1]PriceList!$C:$C,0)</f>
        <v>533416</v>
      </c>
      <c r="F245" s="4">
        <f t="shared" si="4"/>
        <v>2133664</v>
      </c>
    </row>
    <row r="246" spans="1:6" x14ac:dyDescent="0.25">
      <c r="A246" s="7">
        <v>45865</v>
      </c>
      <c r="B246" t="s">
        <v>65</v>
      </c>
      <c r="C246" t="s">
        <v>70</v>
      </c>
      <c r="D246">
        <v>5</v>
      </c>
      <c r="E246" s="4">
        <f>_xll.XLOOKUP(B246&amp;C246,[1]PriceList!$D:$D,[1]PriceList!$C:$C,0)</f>
        <v>302904</v>
      </c>
      <c r="F246" s="4">
        <f t="shared" si="4"/>
        <v>1514520</v>
      </c>
    </row>
    <row r="247" spans="1:6" x14ac:dyDescent="0.25">
      <c r="A247" s="7">
        <v>45867</v>
      </c>
      <c r="B247" t="s">
        <v>64</v>
      </c>
      <c r="C247" t="s">
        <v>72</v>
      </c>
      <c r="D247">
        <v>3</v>
      </c>
      <c r="E247" s="4">
        <f>_xll.XLOOKUP(B247&amp;C247,[1]PriceList!$D:$D,[1]PriceList!$C:$C,0)</f>
        <v>468002</v>
      </c>
      <c r="F247" s="4">
        <f t="shared" si="4"/>
        <v>1404006</v>
      </c>
    </row>
    <row r="248" spans="1:6" x14ac:dyDescent="0.25">
      <c r="A248" s="7">
        <v>45867</v>
      </c>
      <c r="B248" t="s">
        <v>64</v>
      </c>
      <c r="C248" t="s">
        <v>70</v>
      </c>
      <c r="D248">
        <v>1</v>
      </c>
      <c r="E248" s="4">
        <f>_xll.XLOOKUP(B248&amp;C248,[1]PriceList!$D:$D,[1]PriceList!$C:$C,0)</f>
        <v>316210</v>
      </c>
      <c r="F248" s="4">
        <f t="shared" si="4"/>
        <v>316210</v>
      </c>
    </row>
    <row r="249" spans="1:6" x14ac:dyDescent="0.25">
      <c r="A249" s="7">
        <v>45843</v>
      </c>
      <c r="C249" t="s">
        <v>70</v>
      </c>
      <c r="D249">
        <v>5</v>
      </c>
      <c r="E249" s="4">
        <f>_xll.XLOOKUP(B249&amp;C249,[1]PriceList!$D:$D,[1]PriceList!$C:$C,0)</f>
        <v>0</v>
      </c>
      <c r="F249" s="4">
        <f t="shared" si="4"/>
        <v>0</v>
      </c>
    </row>
    <row r="250" spans="1:6" x14ac:dyDescent="0.25">
      <c r="A250" s="7">
        <v>45850</v>
      </c>
      <c r="B250" t="s">
        <v>67</v>
      </c>
      <c r="C250" t="s">
        <v>71</v>
      </c>
      <c r="D250">
        <v>3</v>
      </c>
      <c r="E250" s="4">
        <f>_xll.XLOOKUP(B250&amp;C250,[1]PriceList!$D:$D,[1]PriceList!$C:$C,0)</f>
        <v>121595</v>
      </c>
      <c r="F250" s="4">
        <f t="shared" si="4"/>
        <v>364785</v>
      </c>
    </row>
    <row r="251" spans="1:6" x14ac:dyDescent="0.25">
      <c r="A251" s="7">
        <v>45851</v>
      </c>
      <c r="B251" t="s">
        <v>66</v>
      </c>
      <c r="C251" t="s">
        <v>70</v>
      </c>
      <c r="D251">
        <v>1</v>
      </c>
      <c r="E251" s="4">
        <f>_xll.XLOOKUP(B251&amp;C251,[1]PriceList!$D:$D,[1]PriceList!$C:$C,0)</f>
        <v>335496</v>
      </c>
      <c r="F251" s="4">
        <f t="shared" si="4"/>
        <v>335496</v>
      </c>
    </row>
    <row r="252" spans="1:6" x14ac:dyDescent="0.25">
      <c r="A252" s="7">
        <v>45866</v>
      </c>
      <c r="B252" t="s">
        <v>65</v>
      </c>
      <c r="C252" t="s">
        <v>73</v>
      </c>
      <c r="D252">
        <v>5</v>
      </c>
      <c r="E252" s="4">
        <f>_xll.XLOOKUP(B252&amp;C252,[1]PriceList!$D:$D,[1]PriceList!$C:$C,0)</f>
        <v>232909</v>
      </c>
      <c r="F252" s="4">
        <f t="shared" si="4"/>
        <v>1164545</v>
      </c>
    </row>
    <row r="253" spans="1:6" x14ac:dyDescent="0.25">
      <c r="A253" s="7">
        <v>45844</v>
      </c>
      <c r="B253" t="s">
        <v>64</v>
      </c>
      <c r="C253" t="s">
        <v>68</v>
      </c>
      <c r="D253">
        <v>4</v>
      </c>
      <c r="E253" s="4">
        <f>_xll.XLOOKUP(B253&amp;C253,[1]PriceList!$D:$D,[1]PriceList!$C:$C,0)</f>
        <v>169224</v>
      </c>
      <c r="F253" s="4">
        <f t="shared" si="4"/>
        <v>676896</v>
      </c>
    </row>
    <row r="254" spans="1:6" x14ac:dyDescent="0.25">
      <c r="A254" s="7">
        <v>45884</v>
      </c>
      <c r="B254" t="s">
        <v>67</v>
      </c>
      <c r="C254" t="s">
        <v>72</v>
      </c>
      <c r="D254">
        <v>4</v>
      </c>
      <c r="E254" s="4">
        <f>_xll.XLOOKUP(B254&amp;C254,[1]PriceList!$D:$D,[1]PriceList!$C:$C,0)</f>
        <v>473548</v>
      </c>
      <c r="F254" s="4">
        <f t="shared" si="4"/>
        <v>1894192</v>
      </c>
    </row>
    <row r="255" spans="1:6" x14ac:dyDescent="0.25">
      <c r="A255" s="7">
        <v>45844</v>
      </c>
      <c r="B255" t="s">
        <v>67</v>
      </c>
      <c r="C255" t="s">
        <v>69</v>
      </c>
      <c r="D255">
        <v>4</v>
      </c>
      <c r="E255" s="4">
        <f>_xll.XLOOKUP(B255&amp;C255,[1]PriceList!$D:$D,[1]PriceList!$C:$C,0)</f>
        <v>533416</v>
      </c>
      <c r="F255" s="4">
        <f t="shared" si="4"/>
        <v>2133664</v>
      </c>
    </row>
    <row r="256" spans="1:6" x14ac:dyDescent="0.25">
      <c r="A256" s="7">
        <v>45867</v>
      </c>
      <c r="B256" t="s">
        <v>67</v>
      </c>
      <c r="C256" t="s">
        <v>73</v>
      </c>
      <c r="D256">
        <v>2</v>
      </c>
      <c r="E256" s="4">
        <f>_xll.XLOOKUP(B256&amp;C256,[1]PriceList!$D:$D,[1]PriceList!$C:$C,0)</f>
        <v>239391</v>
      </c>
      <c r="F256" s="4">
        <f t="shared" si="4"/>
        <v>478782</v>
      </c>
    </row>
    <row r="257" spans="1:6" x14ac:dyDescent="0.25">
      <c r="A257" s="7">
        <v>45868</v>
      </c>
      <c r="B257" t="s">
        <v>65</v>
      </c>
      <c r="C257" t="s">
        <v>71</v>
      </c>
      <c r="D257">
        <v>1</v>
      </c>
      <c r="E257" s="4">
        <f>_xll.XLOOKUP(B257&amp;C257,[1]PriceList!$D:$D,[1]PriceList!$C:$C,0)</f>
        <v>86241</v>
      </c>
      <c r="F257" s="4">
        <f t="shared" si="4"/>
        <v>86241</v>
      </c>
    </row>
    <row r="258" spans="1:6" x14ac:dyDescent="0.25">
      <c r="A258" s="7">
        <v>45881</v>
      </c>
      <c r="B258" t="s">
        <v>64</v>
      </c>
      <c r="C258" t="s">
        <v>73</v>
      </c>
      <c r="D258">
        <v>3</v>
      </c>
      <c r="E258" s="4">
        <f>_xll.XLOOKUP(B258&amp;C258,[1]PriceList!$D:$D,[1]PriceList!$C:$C,0)</f>
        <v>218712</v>
      </c>
      <c r="F258" s="4">
        <f t="shared" ref="F258" si="5">D258*E258</f>
        <v>656136</v>
      </c>
    </row>
    <row r="259" spans="1:6" x14ac:dyDescent="0.25">
      <c r="A259" s="7">
        <v>45851</v>
      </c>
      <c r="B259" t="s">
        <v>64</v>
      </c>
      <c r="C259" t="s">
        <v>71</v>
      </c>
      <c r="D259">
        <v>4</v>
      </c>
      <c r="E259" s="4">
        <f>_xll.XLOOKUP(B259&amp;C259,[1]PriceList!$D:$D,[1]PriceList!$C:$C,0)</f>
        <v>80742</v>
      </c>
      <c r="F259" s="4">
        <f t="shared" ref="F259:F261" si="6">D259*E259</f>
        <v>322968</v>
      </c>
    </row>
    <row r="260" spans="1:6" x14ac:dyDescent="0.25">
      <c r="A260" s="7">
        <v>45864</v>
      </c>
      <c r="B260" t="s">
        <v>66</v>
      </c>
      <c r="C260" t="s">
        <v>72</v>
      </c>
      <c r="D260">
        <v>2</v>
      </c>
      <c r="E260" s="4">
        <f>_xll.XLOOKUP(B260&amp;C260,[1]PriceList!$D:$D,[1]PriceList!$C:$C,0)</f>
        <v>442673</v>
      </c>
      <c r="F260" s="4">
        <f t="shared" si="6"/>
        <v>885346</v>
      </c>
    </row>
    <row r="261" spans="1:6" x14ac:dyDescent="0.25">
      <c r="A261" s="7">
        <v>45844</v>
      </c>
      <c r="B261" t="s">
        <v>66</v>
      </c>
      <c r="C261" t="s">
        <v>73</v>
      </c>
      <c r="D261">
        <v>2</v>
      </c>
      <c r="E261" s="4">
        <f>_xll.XLOOKUP(B261&amp;C261,[1]PriceList!$D:$D,[1]PriceList!$C:$C,0)</f>
        <v>218017</v>
      </c>
      <c r="F261" s="4">
        <f t="shared" si="6"/>
        <v>436034</v>
      </c>
    </row>
  </sheetData>
  <autoFilter ref="A1:F261" xr:uid="{CF561F6A-F6DD-48AE-87D8-7E33D4EFA66F}"/>
  <pageMargins left="0.7" right="0.7" top="0.75" bottom="0.75" header="0.3" footer="0.3"/>
  <pageSetup paperSize="9" orientation="portrait" horizontalDpi="4294967293" verticalDpi="0" r:id="rId1"/>
  <headerFooter>
    <oddFooter>&amp;C_x000D_&amp;1#&amp;"Calibri"&amp;10&amp;K000000 Mondelez International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1"/>
  <sheetViews>
    <sheetView workbookViewId="0"/>
  </sheetViews>
  <sheetFormatPr defaultRowHeight="15" x14ac:dyDescent="0.25"/>
  <cols>
    <col min="1" max="1" width="12.28515625" bestFit="1" customWidth="1"/>
    <col min="5" max="5" width="9.140625" style="9"/>
    <col min="8" max="8" width="11.42578125" bestFit="1" customWidth="1"/>
  </cols>
  <sheetData>
    <row r="1" spans="1:12" x14ac:dyDescent="0.25">
      <c r="A1" s="1" t="s">
        <v>0</v>
      </c>
      <c r="B1" s="1" t="s">
        <v>75</v>
      </c>
      <c r="C1" s="1" t="s">
        <v>76</v>
      </c>
      <c r="D1" s="1" t="s">
        <v>2</v>
      </c>
      <c r="E1" s="1" t="s">
        <v>3</v>
      </c>
      <c r="F1" s="5" t="s">
        <v>324</v>
      </c>
      <c r="G1" s="5" t="s">
        <v>328</v>
      </c>
    </row>
    <row r="2" spans="1:12" x14ac:dyDescent="0.25">
      <c r="A2" t="s">
        <v>42</v>
      </c>
      <c r="B2" t="s">
        <v>78</v>
      </c>
      <c r="C2" t="s">
        <v>298</v>
      </c>
      <c r="D2" t="s">
        <v>71</v>
      </c>
      <c r="E2" s="9">
        <v>3</v>
      </c>
      <c r="F2" s="9" t="str">
        <f>_xll.XLOOKUP(C2,[1]Customers!$A:$A,[1]Customers!$D:$D,"-")</f>
        <v>Silver</v>
      </c>
      <c r="G2" s="9" t="str">
        <f>IF(AND(COUNTIF([1]Customers!$A:$A,C2)&gt;0,COUNTIF([1]Products!$A:$A,D2)&gt;0),"Valid","Invalid")</f>
        <v>Valid</v>
      </c>
    </row>
    <row r="3" spans="1:12" ht="15.75" thickBot="1" x14ac:dyDescent="0.3">
      <c r="A3" t="s">
        <v>77</v>
      </c>
      <c r="B3" t="s">
        <v>79</v>
      </c>
      <c r="C3" t="s">
        <v>299</v>
      </c>
      <c r="D3" t="s">
        <v>68</v>
      </c>
      <c r="E3" s="9">
        <v>3</v>
      </c>
      <c r="F3" s="9" t="str">
        <f>_xll.XLOOKUP(C3,[1]Customers!$A:$A,[1]Customers!$D:$D,"-")</f>
        <v>Gold</v>
      </c>
      <c r="G3" s="9" t="str">
        <f>IF(AND(COUNTIF([1]Customers!$A:$A,C3)&gt;0,COUNTIF([1]Products!$A:$A,D3)&gt;0),"Valid","Invalid")</f>
        <v>Valid</v>
      </c>
      <c r="I3" s="12" t="s">
        <v>76</v>
      </c>
      <c r="J3" s="12" t="s">
        <v>324</v>
      </c>
      <c r="K3" s="12" t="s">
        <v>3</v>
      </c>
      <c r="L3" s="12" t="s">
        <v>329</v>
      </c>
    </row>
    <row r="4" spans="1:12" x14ac:dyDescent="0.25">
      <c r="A4" t="s">
        <v>46</v>
      </c>
      <c r="B4" t="s">
        <v>80</v>
      </c>
      <c r="C4" t="s">
        <v>300</v>
      </c>
      <c r="D4" t="s">
        <v>73</v>
      </c>
      <c r="E4" s="9">
        <v>1</v>
      </c>
      <c r="F4" s="9" t="str">
        <f>_xll.XLOOKUP(C4,[1]Customers!$A:$A,[1]Customers!$D:$D,"-")</f>
        <v>Bronze</v>
      </c>
      <c r="G4" s="9" t="str">
        <f>IF(AND(COUNTIF([1]Customers!$A:$A,C4)&gt;0,COUNTIF([1]Products!$A:$A,D4)&gt;0),"Valid","Invalid")</f>
        <v>Valid</v>
      </c>
      <c r="I4" s="10" t="s">
        <v>299</v>
      </c>
      <c r="J4" s="10" t="s">
        <v>325</v>
      </c>
      <c r="K4" s="10">
        <f>SUMIFS(E:E,C:C,I4,G:G,"Valid")</f>
        <v>81</v>
      </c>
      <c r="L4" s="11">
        <v>15000</v>
      </c>
    </row>
    <row r="5" spans="1:12" x14ac:dyDescent="0.25">
      <c r="A5" t="s">
        <v>46</v>
      </c>
      <c r="B5" t="s">
        <v>81</v>
      </c>
      <c r="C5" t="s">
        <v>301</v>
      </c>
      <c r="D5" t="s">
        <v>72</v>
      </c>
      <c r="E5" s="9">
        <v>2</v>
      </c>
      <c r="F5" s="9" t="str">
        <f>_xll.XLOOKUP(C5,[1]Customers!$A:$A,[1]Customers!$D:$D,"-")</f>
        <v>Silver</v>
      </c>
      <c r="G5" s="9" t="str">
        <f>IF(AND(COUNTIF([1]Customers!$A:$A,C5)&gt;0,COUNTIF([1]Products!$A:$A,D5)&gt;0),"Valid","Invalid")</f>
        <v>Valid</v>
      </c>
      <c r="I5" s="10" t="s">
        <v>298</v>
      </c>
      <c r="J5" s="10" t="s">
        <v>326</v>
      </c>
      <c r="K5" s="10">
        <f t="shared" ref="K5:K8" si="0">SUMIFS(E:E,C:C,I5,G:G,"Valid")</f>
        <v>92</v>
      </c>
      <c r="L5" s="11">
        <v>20000</v>
      </c>
    </row>
    <row r="6" spans="1:12" x14ac:dyDescent="0.25">
      <c r="A6" t="s">
        <v>11</v>
      </c>
      <c r="B6" t="s">
        <v>82</v>
      </c>
      <c r="C6" t="s">
        <v>302</v>
      </c>
      <c r="D6" t="s">
        <v>71</v>
      </c>
      <c r="E6" s="9">
        <v>4</v>
      </c>
      <c r="F6" s="9" t="str">
        <f>_xll.XLOOKUP(C6,[1]Customers!$A:$A,[1]Customers!$D:$D,"-")</f>
        <v>Gold</v>
      </c>
      <c r="G6" s="9" t="str">
        <f>IF(AND(COUNTIF([1]Customers!$A:$A,C6)&gt;0,COUNTIF([1]Products!$A:$A,D6)&gt;0),"Valid","Invalid")</f>
        <v>Valid</v>
      </c>
      <c r="I6" s="10" t="s">
        <v>300</v>
      </c>
      <c r="J6" s="10" t="s">
        <v>327</v>
      </c>
      <c r="K6" s="10">
        <f t="shared" si="0"/>
        <v>108</v>
      </c>
      <c r="L6" s="11">
        <v>25000</v>
      </c>
    </row>
    <row r="7" spans="1:12" x14ac:dyDescent="0.25">
      <c r="A7" t="s">
        <v>53</v>
      </c>
      <c r="B7" t="s">
        <v>83</v>
      </c>
      <c r="C7" t="s">
        <v>303</v>
      </c>
      <c r="D7" t="s">
        <v>68</v>
      </c>
      <c r="E7" s="9">
        <v>4</v>
      </c>
      <c r="F7" s="9" t="str">
        <f>_xll.XLOOKUP(C7,[1]Customers!$A:$A,[1]Customers!$D:$D,"-")</f>
        <v>-</v>
      </c>
      <c r="G7" s="9" t="str">
        <f>IF(AND(COUNTIF([1]Customers!$A:$A,C7)&gt;0,COUNTIF([1]Products!$A:$A,D7)&gt;0),"Valid","Invalid")</f>
        <v>Invalid</v>
      </c>
      <c r="I7" s="10" t="s">
        <v>302</v>
      </c>
      <c r="J7" s="10" t="s">
        <v>325</v>
      </c>
      <c r="K7" s="10">
        <f t="shared" si="0"/>
        <v>98</v>
      </c>
      <c r="L7" s="11">
        <v>22000</v>
      </c>
    </row>
    <row r="8" spans="1:12" x14ac:dyDescent="0.25">
      <c r="A8" t="s">
        <v>10</v>
      </c>
      <c r="B8" t="s">
        <v>84</v>
      </c>
      <c r="C8" t="s">
        <v>301</v>
      </c>
      <c r="D8" t="s">
        <v>69</v>
      </c>
      <c r="E8" s="9">
        <v>2</v>
      </c>
      <c r="F8" s="9" t="str">
        <f>_xll.XLOOKUP(C8,[1]Customers!$A:$A,[1]Customers!$D:$D,"-")</f>
        <v>Silver</v>
      </c>
      <c r="G8" s="9" t="str">
        <f>IF(AND(COUNTIF([1]Customers!$A:$A,C8)&gt;0,COUNTIF([1]Products!$A:$A,D8)&gt;0),"Valid","Invalid")</f>
        <v>Valid</v>
      </c>
      <c r="I8" s="10" t="s">
        <v>301</v>
      </c>
      <c r="J8" s="10" t="s">
        <v>326</v>
      </c>
      <c r="K8" s="10">
        <f t="shared" si="0"/>
        <v>125</v>
      </c>
      <c r="L8" s="11">
        <v>24000</v>
      </c>
    </row>
    <row r="9" spans="1:12" x14ac:dyDescent="0.25">
      <c r="A9" t="s">
        <v>25</v>
      </c>
      <c r="B9" t="s">
        <v>85</v>
      </c>
      <c r="C9" t="s">
        <v>301</v>
      </c>
      <c r="D9" t="s">
        <v>73</v>
      </c>
      <c r="E9" s="9">
        <v>1</v>
      </c>
      <c r="F9" s="9" t="str">
        <f>_xll.XLOOKUP(C9,[1]Customers!$A:$A,[1]Customers!$D:$D,"-")</f>
        <v>Silver</v>
      </c>
      <c r="G9" s="9" t="str">
        <f>IF(AND(COUNTIF([1]Customers!$A:$A,C9)&gt;0,COUNTIF([1]Products!$A:$A,D9)&gt;0),"Valid","Invalid")</f>
        <v>Valid</v>
      </c>
    </row>
    <row r="10" spans="1:12" x14ac:dyDescent="0.25">
      <c r="A10" t="s">
        <v>39</v>
      </c>
      <c r="B10" t="s">
        <v>86</v>
      </c>
      <c r="C10" t="s">
        <v>301</v>
      </c>
      <c r="D10" t="s">
        <v>68</v>
      </c>
      <c r="E10" s="9">
        <v>1</v>
      </c>
      <c r="F10" s="9" t="str">
        <f>_xll.XLOOKUP(C10,[1]Customers!$A:$A,[1]Customers!$D:$D,"-")</f>
        <v>Silver</v>
      </c>
      <c r="G10" s="9" t="str">
        <f>IF(AND(COUNTIF([1]Customers!$A:$A,C10)&gt;0,COUNTIF([1]Products!$A:$A,D10)&gt;0),"Valid","Invalid")</f>
        <v>Valid</v>
      </c>
    </row>
    <row r="11" spans="1:12" x14ac:dyDescent="0.25">
      <c r="A11" t="s">
        <v>50</v>
      </c>
      <c r="B11" t="s">
        <v>87</v>
      </c>
      <c r="C11" t="s">
        <v>300</v>
      </c>
      <c r="D11" t="s">
        <v>71</v>
      </c>
      <c r="E11" s="9">
        <v>1</v>
      </c>
      <c r="F11" s="9" t="str">
        <f>_xll.XLOOKUP(C11,[1]Customers!$A:$A,[1]Customers!$D:$D,"-")</f>
        <v>Bronze</v>
      </c>
      <c r="G11" s="9" t="str">
        <f>IF(AND(COUNTIF([1]Customers!$A:$A,C11)&gt;0,COUNTIF([1]Products!$A:$A,D11)&gt;0),"Valid","Invalid")</f>
        <v>Valid</v>
      </c>
    </row>
    <row r="12" spans="1:12" x14ac:dyDescent="0.25">
      <c r="A12" t="s">
        <v>20</v>
      </c>
      <c r="B12" t="s">
        <v>88</v>
      </c>
      <c r="C12" t="s">
        <v>300</v>
      </c>
      <c r="D12" t="s">
        <v>69</v>
      </c>
      <c r="E12" s="9">
        <v>3</v>
      </c>
      <c r="F12" s="9" t="str">
        <f>_xll.XLOOKUP(C12,[1]Customers!$A:$A,[1]Customers!$D:$D,"-")</f>
        <v>Bronze</v>
      </c>
      <c r="G12" s="9" t="str">
        <f>IF(AND(COUNTIF([1]Customers!$A:$A,C12)&gt;0,COUNTIF([1]Products!$A:$A,D12)&gt;0),"Valid","Invalid")</f>
        <v>Valid</v>
      </c>
    </row>
    <row r="13" spans="1:12" x14ac:dyDescent="0.25">
      <c r="A13" t="s">
        <v>9</v>
      </c>
      <c r="B13" t="s">
        <v>89</v>
      </c>
      <c r="C13" t="s">
        <v>300</v>
      </c>
      <c r="D13" t="s">
        <v>71</v>
      </c>
      <c r="E13" s="9">
        <v>2</v>
      </c>
      <c r="F13" s="9" t="str">
        <f>_xll.XLOOKUP(C13,[1]Customers!$A:$A,[1]Customers!$D:$D,"-")</f>
        <v>Bronze</v>
      </c>
      <c r="G13" s="9" t="str">
        <f>IF(AND(COUNTIF([1]Customers!$A:$A,C13)&gt;0,COUNTIF([1]Products!$A:$A,D13)&gt;0),"Valid","Invalid")</f>
        <v>Valid</v>
      </c>
    </row>
    <row r="14" spans="1:12" x14ac:dyDescent="0.25">
      <c r="A14" t="s">
        <v>16</v>
      </c>
      <c r="B14" t="s">
        <v>90</v>
      </c>
      <c r="C14" t="s">
        <v>300</v>
      </c>
      <c r="D14" t="s">
        <v>72</v>
      </c>
      <c r="E14" s="9">
        <v>3</v>
      </c>
      <c r="F14" s="9" t="str">
        <f>_xll.XLOOKUP(C14,[1]Customers!$A:$A,[1]Customers!$D:$D,"-")</f>
        <v>Bronze</v>
      </c>
      <c r="G14" s="9" t="str">
        <f>IF(AND(COUNTIF([1]Customers!$A:$A,C14)&gt;0,COUNTIF([1]Products!$A:$A,D14)&gt;0),"Valid","Invalid")</f>
        <v>Valid</v>
      </c>
    </row>
    <row r="15" spans="1:12" x14ac:dyDescent="0.25">
      <c r="A15" t="s">
        <v>55</v>
      </c>
      <c r="B15" t="s">
        <v>91</v>
      </c>
      <c r="C15" t="s">
        <v>299</v>
      </c>
      <c r="D15" t="s">
        <v>71</v>
      </c>
      <c r="E15" s="9">
        <v>2</v>
      </c>
      <c r="F15" s="9" t="str">
        <f>_xll.XLOOKUP(C15,[1]Customers!$A:$A,[1]Customers!$D:$D,"-")</f>
        <v>Gold</v>
      </c>
      <c r="G15" s="9" t="str">
        <f>IF(AND(COUNTIF([1]Customers!$A:$A,C15)&gt;0,COUNTIF([1]Products!$A:$A,D15)&gt;0),"Valid","Invalid")</f>
        <v>Valid</v>
      </c>
    </row>
    <row r="16" spans="1:12" x14ac:dyDescent="0.25">
      <c r="A16" t="s">
        <v>25</v>
      </c>
      <c r="B16" t="s">
        <v>92</v>
      </c>
      <c r="C16" t="s">
        <v>301</v>
      </c>
      <c r="D16" t="s">
        <v>73</v>
      </c>
      <c r="E16" s="9">
        <v>2</v>
      </c>
      <c r="F16" s="9" t="str">
        <f>_xll.XLOOKUP(C16,[1]Customers!$A:$A,[1]Customers!$D:$D,"-")</f>
        <v>Silver</v>
      </c>
      <c r="G16" s="9" t="str">
        <f>IF(AND(COUNTIF([1]Customers!$A:$A,C16)&gt;0,COUNTIF([1]Products!$A:$A,D16)&gt;0),"Valid","Invalid")</f>
        <v>Valid</v>
      </c>
    </row>
    <row r="17" spans="1:7" x14ac:dyDescent="0.25">
      <c r="A17" t="s">
        <v>30</v>
      </c>
      <c r="B17" t="s">
        <v>93</v>
      </c>
      <c r="C17" t="s">
        <v>300</v>
      </c>
      <c r="D17" t="s">
        <v>69</v>
      </c>
      <c r="E17" s="9">
        <v>1</v>
      </c>
      <c r="F17" s="9" t="str">
        <f>_xll.XLOOKUP(C17,[1]Customers!$A:$A,[1]Customers!$D:$D,"-")</f>
        <v>Bronze</v>
      </c>
      <c r="G17" s="9" t="str">
        <f>IF(AND(COUNTIF([1]Customers!$A:$A,C17)&gt;0,COUNTIF([1]Products!$A:$A,D17)&gt;0),"Valid","Invalid")</f>
        <v>Valid</v>
      </c>
    </row>
    <row r="18" spans="1:7" x14ac:dyDescent="0.25">
      <c r="A18" t="s">
        <v>23</v>
      </c>
      <c r="B18" t="s">
        <v>94</v>
      </c>
      <c r="C18" t="s">
        <v>301</v>
      </c>
      <c r="D18" t="s">
        <v>70</v>
      </c>
      <c r="E18" s="9">
        <v>2</v>
      </c>
      <c r="F18" s="9" t="str">
        <f>_xll.XLOOKUP(C18,[1]Customers!$A:$A,[1]Customers!$D:$D,"-")</f>
        <v>Silver</v>
      </c>
      <c r="G18" s="9" t="str">
        <f>IF(AND(COUNTIF([1]Customers!$A:$A,C18)&gt;0,COUNTIF([1]Products!$A:$A,D18)&gt;0),"Valid","Invalid")</f>
        <v>Valid</v>
      </c>
    </row>
    <row r="19" spans="1:7" x14ac:dyDescent="0.25">
      <c r="A19" t="s">
        <v>38</v>
      </c>
      <c r="B19" t="s">
        <v>95</v>
      </c>
      <c r="C19" t="s">
        <v>300</v>
      </c>
      <c r="D19" t="s">
        <v>73</v>
      </c>
      <c r="E19" s="9">
        <v>3</v>
      </c>
      <c r="F19" s="9" t="str">
        <f>_xll.XLOOKUP(C19,[1]Customers!$A:$A,[1]Customers!$D:$D,"-")</f>
        <v>Bronze</v>
      </c>
      <c r="G19" s="9" t="str">
        <f>IF(AND(COUNTIF([1]Customers!$A:$A,C19)&gt;0,COUNTIF([1]Products!$A:$A,D19)&gt;0),"Valid","Invalid")</f>
        <v>Valid</v>
      </c>
    </row>
    <row r="20" spans="1:7" x14ac:dyDescent="0.25">
      <c r="A20" t="s">
        <v>15</v>
      </c>
      <c r="B20" t="s">
        <v>96</v>
      </c>
      <c r="C20" t="s">
        <v>300</v>
      </c>
      <c r="D20" t="s">
        <v>73</v>
      </c>
      <c r="E20" s="9">
        <v>3</v>
      </c>
      <c r="F20" s="9" t="str">
        <f>_xll.XLOOKUP(C20,[1]Customers!$A:$A,[1]Customers!$D:$D,"-")</f>
        <v>Bronze</v>
      </c>
      <c r="G20" s="9" t="str">
        <f>IF(AND(COUNTIF([1]Customers!$A:$A,C20)&gt;0,COUNTIF([1]Products!$A:$A,D20)&gt;0),"Valid","Invalid")</f>
        <v>Valid</v>
      </c>
    </row>
    <row r="21" spans="1:7" x14ac:dyDescent="0.25">
      <c r="A21" t="s">
        <v>30</v>
      </c>
      <c r="B21" t="s">
        <v>97</v>
      </c>
      <c r="C21" t="s">
        <v>298</v>
      </c>
      <c r="D21" t="s">
        <v>68</v>
      </c>
      <c r="E21" s="9">
        <v>3</v>
      </c>
      <c r="F21" s="9" t="str">
        <f>_xll.XLOOKUP(C21,[1]Customers!$A:$A,[1]Customers!$D:$D,"-")</f>
        <v>Silver</v>
      </c>
      <c r="G21" s="9" t="str">
        <f>IF(AND(COUNTIF([1]Customers!$A:$A,C21)&gt;0,COUNTIF([1]Products!$A:$A,D21)&gt;0),"Valid","Invalid")</f>
        <v>Valid</v>
      </c>
    </row>
    <row r="22" spans="1:7" x14ac:dyDescent="0.25">
      <c r="A22" t="s">
        <v>24</v>
      </c>
      <c r="B22" t="s">
        <v>98</v>
      </c>
      <c r="C22" t="s">
        <v>301</v>
      </c>
      <c r="D22" t="s">
        <v>68</v>
      </c>
      <c r="E22" s="9">
        <v>2</v>
      </c>
      <c r="F22" s="9" t="str">
        <f>_xll.XLOOKUP(C22,[1]Customers!$A:$A,[1]Customers!$D:$D,"-")</f>
        <v>Silver</v>
      </c>
      <c r="G22" s="9" t="str">
        <f>IF(AND(COUNTIF([1]Customers!$A:$A,C22)&gt;0,COUNTIF([1]Products!$A:$A,D22)&gt;0),"Valid","Invalid")</f>
        <v>Valid</v>
      </c>
    </row>
    <row r="23" spans="1:7" x14ac:dyDescent="0.25">
      <c r="A23" t="s">
        <v>8</v>
      </c>
      <c r="B23" t="s">
        <v>99</v>
      </c>
      <c r="C23" t="s">
        <v>299</v>
      </c>
      <c r="D23" t="s">
        <v>70</v>
      </c>
      <c r="E23" s="9">
        <v>3</v>
      </c>
      <c r="F23" s="9" t="str">
        <f>_xll.XLOOKUP(C23,[1]Customers!$A:$A,[1]Customers!$D:$D,"-")</f>
        <v>Gold</v>
      </c>
      <c r="G23" s="9" t="str">
        <f>IF(AND(COUNTIF([1]Customers!$A:$A,C23)&gt;0,COUNTIF([1]Products!$A:$A,D23)&gt;0),"Valid","Invalid")</f>
        <v>Valid</v>
      </c>
    </row>
    <row r="24" spans="1:7" x14ac:dyDescent="0.25">
      <c r="A24" t="s">
        <v>38</v>
      </c>
      <c r="B24" t="s">
        <v>100</v>
      </c>
      <c r="C24" t="s">
        <v>301</v>
      </c>
      <c r="D24" t="s">
        <v>70</v>
      </c>
      <c r="E24" s="9">
        <v>1</v>
      </c>
      <c r="F24" s="9" t="str">
        <f>_xll.XLOOKUP(C24,[1]Customers!$A:$A,[1]Customers!$D:$D,"-")</f>
        <v>Silver</v>
      </c>
      <c r="G24" s="9" t="str">
        <f>IF(AND(COUNTIF([1]Customers!$A:$A,C24)&gt;0,COUNTIF([1]Products!$A:$A,D24)&gt;0),"Valid","Invalid")</f>
        <v>Valid</v>
      </c>
    </row>
    <row r="25" spans="1:7" x14ac:dyDescent="0.25">
      <c r="A25" t="s">
        <v>19</v>
      </c>
      <c r="B25" t="s">
        <v>101</v>
      </c>
      <c r="C25" t="s">
        <v>298</v>
      </c>
      <c r="D25" t="s">
        <v>68</v>
      </c>
      <c r="E25" s="9">
        <v>3</v>
      </c>
      <c r="F25" s="9" t="str">
        <f>_xll.XLOOKUP(C25,[1]Customers!$A:$A,[1]Customers!$D:$D,"-")</f>
        <v>Silver</v>
      </c>
      <c r="G25" s="9" t="str">
        <f>IF(AND(COUNTIF([1]Customers!$A:$A,C25)&gt;0,COUNTIF([1]Products!$A:$A,D25)&gt;0),"Valid","Invalid")</f>
        <v>Valid</v>
      </c>
    </row>
    <row r="26" spans="1:7" x14ac:dyDescent="0.25">
      <c r="A26" t="s">
        <v>4</v>
      </c>
      <c r="B26" t="s">
        <v>102</v>
      </c>
      <c r="C26" t="s">
        <v>300</v>
      </c>
      <c r="D26" t="s">
        <v>69</v>
      </c>
      <c r="E26" s="9">
        <v>4</v>
      </c>
      <c r="F26" s="9" t="str">
        <f>_xll.XLOOKUP(C26,[1]Customers!$A:$A,[1]Customers!$D:$D,"-")</f>
        <v>Bronze</v>
      </c>
      <c r="G26" s="9" t="str">
        <f>IF(AND(COUNTIF([1]Customers!$A:$A,C26)&gt;0,COUNTIF([1]Products!$A:$A,D26)&gt;0),"Valid","Invalid")</f>
        <v>Valid</v>
      </c>
    </row>
    <row r="27" spans="1:7" x14ac:dyDescent="0.25">
      <c r="A27" t="s">
        <v>19</v>
      </c>
      <c r="B27" t="s">
        <v>103</v>
      </c>
      <c r="C27" t="s">
        <v>298</v>
      </c>
      <c r="D27" t="s">
        <v>69</v>
      </c>
      <c r="E27" s="9">
        <v>1</v>
      </c>
      <c r="F27" s="9" t="str">
        <f>_xll.XLOOKUP(C27,[1]Customers!$A:$A,[1]Customers!$D:$D,"-")</f>
        <v>Silver</v>
      </c>
      <c r="G27" s="9" t="str">
        <f>IF(AND(COUNTIF([1]Customers!$A:$A,C27)&gt;0,COUNTIF([1]Products!$A:$A,D27)&gt;0),"Valid","Invalid")</f>
        <v>Valid</v>
      </c>
    </row>
    <row r="28" spans="1:7" x14ac:dyDescent="0.25">
      <c r="A28" t="s">
        <v>17</v>
      </c>
      <c r="B28" t="s">
        <v>104</v>
      </c>
      <c r="C28" t="s">
        <v>298</v>
      </c>
      <c r="D28" t="s">
        <v>70</v>
      </c>
      <c r="E28" s="9">
        <v>3</v>
      </c>
      <c r="F28" s="9" t="str">
        <f>_xll.XLOOKUP(C28,[1]Customers!$A:$A,[1]Customers!$D:$D,"-")</f>
        <v>Silver</v>
      </c>
      <c r="G28" s="9" t="str">
        <f>IF(AND(COUNTIF([1]Customers!$A:$A,C28)&gt;0,COUNTIF([1]Products!$A:$A,D28)&gt;0),"Valid","Invalid")</f>
        <v>Valid</v>
      </c>
    </row>
    <row r="29" spans="1:7" x14ac:dyDescent="0.25">
      <c r="A29" t="s">
        <v>26</v>
      </c>
      <c r="B29" t="s">
        <v>105</v>
      </c>
      <c r="C29" t="s">
        <v>298</v>
      </c>
      <c r="D29" t="s">
        <v>71</v>
      </c>
      <c r="E29" s="9">
        <v>3</v>
      </c>
      <c r="F29" s="9" t="str">
        <f>_xll.XLOOKUP(C29,[1]Customers!$A:$A,[1]Customers!$D:$D,"-")</f>
        <v>Silver</v>
      </c>
      <c r="G29" s="9" t="str">
        <f>IF(AND(COUNTIF([1]Customers!$A:$A,C29)&gt;0,COUNTIF([1]Products!$A:$A,D29)&gt;0),"Valid","Invalid")</f>
        <v>Valid</v>
      </c>
    </row>
    <row r="30" spans="1:7" x14ac:dyDescent="0.25">
      <c r="A30" t="s">
        <v>7</v>
      </c>
      <c r="B30" t="s">
        <v>106</v>
      </c>
      <c r="C30" t="s">
        <v>302</v>
      </c>
      <c r="D30" t="s">
        <v>71</v>
      </c>
      <c r="E30" s="9">
        <v>1</v>
      </c>
      <c r="F30" s="9" t="str">
        <f>_xll.XLOOKUP(C30,[1]Customers!$A:$A,[1]Customers!$D:$D,"-")</f>
        <v>Gold</v>
      </c>
      <c r="G30" s="9" t="str">
        <f>IF(AND(COUNTIF([1]Customers!$A:$A,C30)&gt;0,COUNTIF([1]Products!$A:$A,D30)&gt;0),"Valid","Invalid")</f>
        <v>Valid</v>
      </c>
    </row>
    <row r="31" spans="1:7" x14ac:dyDescent="0.25">
      <c r="A31" t="s">
        <v>36</v>
      </c>
      <c r="B31" t="s">
        <v>107</v>
      </c>
      <c r="C31" t="s">
        <v>300</v>
      </c>
      <c r="D31" t="s">
        <v>71</v>
      </c>
      <c r="E31" s="9">
        <v>2</v>
      </c>
      <c r="F31" s="9" t="str">
        <f>_xll.XLOOKUP(C31,[1]Customers!$A:$A,[1]Customers!$D:$D,"-")</f>
        <v>Bronze</v>
      </c>
      <c r="G31" s="9" t="str">
        <f>IF(AND(COUNTIF([1]Customers!$A:$A,C31)&gt;0,COUNTIF([1]Products!$A:$A,D31)&gt;0),"Valid","Invalid")</f>
        <v>Valid</v>
      </c>
    </row>
    <row r="32" spans="1:7" x14ac:dyDescent="0.25">
      <c r="A32" t="s">
        <v>46</v>
      </c>
      <c r="B32" t="s">
        <v>108</v>
      </c>
      <c r="C32" t="s">
        <v>301</v>
      </c>
      <c r="D32" t="s">
        <v>69</v>
      </c>
      <c r="E32" s="9">
        <v>2</v>
      </c>
      <c r="F32" s="9" t="str">
        <f>_xll.XLOOKUP(C32,[1]Customers!$A:$A,[1]Customers!$D:$D,"-")</f>
        <v>Silver</v>
      </c>
      <c r="G32" s="9" t="str">
        <f>IF(AND(COUNTIF([1]Customers!$A:$A,C32)&gt;0,COUNTIF([1]Products!$A:$A,D32)&gt;0),"Valid","Invalid")</f>
        <v>Valid</v>
      </c>
    </row>
    <row r="33" spans="1:9" x14ac:dyDescent="0.25">
      <c r="A33" t="s">
        <v>45</v>
      </c>
      <c r="B33" t="s">
        <v>109</v>
      </c>
      <c r="C33" t="s">
        <v>302</v>
      </c>
      <c r="D33" t="s">
        <v>69</v>
      </c>
      <c r="E33" s="9">
        <v>3</v>
      </c>
      <c r="F33" s="9" t="str">
        <f>_xll.XLOOKUP(C33,[1]Customers!$A:$A,[1]Customers!$D:$D,"-")</f>
        <v>Gold</v>
      </c>
      <c r="G33" s="9" t="str">
        <f>IF(AND(COUNTIF([1]Customers!$A:$A,C33)&gt;0,COUNTIF([1]Products!$A:$A,D33)&gt;0),"Valid","Invalid")</f>
        <v>Valid</v>
      </c>
    </row>
    <row r="34" spans="1:9" x14ac:dyDescent="0.25">
      <c r="A34" t="s">
        <v>18</v>
      </c>
      <c r="B34" t="s">
        <v>110</v>
      </c>
      <c r="C34" t="s">
        <v>301</v>
      </c>
      <c r="D34" t="s">
        <v>70</v>
      </c>
      <c r="E34" s="9">
        <v>4</v>
      </c>
      <c r="F34" s="9" t="str">
        <f>_xll.XLOOKUP(C34,[1]Customers!$A:$A,[1]Customers!$D:$D,"-")</f>
        <v>Silver</v>
      </c>
      <c r="G34" s="9" t="str">
        <f>IF(AND(COUNTIF([1]Customers!$A:$A,C34)&gt;0,COUNTIF([1]Products!$A:$A,D34)&gt;0),"Valid","Invalid")</f>
        <v>Valid</v>
      </c>
    </row>
    <row r="35" spans="1:9" x14ac:dyDescent="0.25">
      <c r="A35" t="s">
        <v>5</v>
      </c>
      <c r="B35" t="s">
        <v>111</v>
      </c>
      <c r="C35" t="s">
        <v>301</v>
      </c>
      <c r="D35" t="s">
        <v>71</v>
      </c>
      <c r="E35" s="9">
        <v>2</v>
      </c>
      <c r="F35" s="9" t="str">
        <f>_xll.XLOOKUP(C35,[1]Customers!$A:$A,[1]Customers!$D:$D,"-")</f>
        <v>Silver</v>
      </c>
      <c r="G35" s="9" t="str">
        <f>IF(AND(COUNTIF([1]Customers!$A:$A,C35)&gt;0,COUNTIF([1]Products!$A:$A,D35)&gt;0),"Valid","Invalid")</f>
        <v>Valid</v>
      </c>
    </row>
    <row r="36" spans="1:9" x14ac:dyDescent="0.25">
      <c r="A36" t="s">
        <v>45</v>
      </c>
      <c r="B36" t="s">
        <v>112</v>
      </c>
      <c r="C36" t="s">
        <v>299</v>
      </c>
      <c r="D36" t="s">
        <v>71</v>
      </c>
      <c r="E36" s="9">
        <v>4</v>
      </c>
      <c r="F36" s="9" t="str">
        <f>_xll.XLOOKUP(C36,[1]Customers!$A:$A,[1]Customers!$D:$D,"-")</f>
        <v>Gold</v>
      </c>
      <c r="G36" s="9" t="str">
        <f>IF(AND(COUNTIF([1]Customers!$A:$A,C36)&gt;0,COUNTIF([1]Products!$A:$A,D36)&gt;0),"Valid","Invalid")</f>
        <v>Valid</v>
      </c>
    </row>
    <row r="37" spans="1:9" x14ac:dyDescent="0.25">
      <c r="A37" t="s">
        <v>11</v>
      </c>
      <c r="B37" t="s">
        <v>113</v>
      </c>
      <c r="C37" t="s">
        <v>300</v>
      </c>
      <c r="D37" t="s">
        <v>72</v>
      </c>
      <c r="E37" s="9">
        <v>1</v>
      </c>
      <c r="F37" s="9" t="str">
        <f>_xll.XLOOKUP(C37,[1]Customers!$A:$A,[1]Customers!$D:$D,"-")</f>
        <v>Bronze</v>
      </c>
      <c r="G37" s="9" t="str">
        <f>IF(AND(COUNTIF([1]Customers!$A:$A,C37)&gt;0,COUNTIF([1]Products!$A:$A,D37)&gt;0),"Valid","Invalid")</f>
        <v>Valid</v>
      </c>
    </row>
    <row r="38" spans="1:9" x14ac:dyDescent="0.25">
      <c r="A38" t="s">
        <v>4</v>
      </c>
      <c r="B38" t="s">
        <v>114</v>
      </c>
      <c r="C38" t="s">
        <v>298</v>
      </c>
      <c r="D38" t="s">
        <v>71</v>
      </c>
      <c r="E38" s="9">
        <v>1</v>
      </c>
      <c r="F38" s="9" t="str">
        <f>_xll.XLOOKUP(C38,[1]Customers!$A:$A,[1]Customers!$D:$D,"-")</f>
        <v>Silver</v>
      </c>
      <c r="G38" s="9" t="str">
        <f>IF(AND(COUNTIF([1]Customers!$A:$A,C38)&gt;0,COUNTIF([1]Products!$A:$A,D38)&gt;0),"Valid","Invalid")</f>
        <v>Valid</v>
      </c>
    </row>
    <row r="39" spans="1:9" x14ac:dyDescent="0.25">
      <c r="A39" t="s">
        <v>39</v>
      </c>
      <c r="B39" t="s">
        <v>115</v>
      </c>
      <c r="C39" t="s">
        <v>300</v>
      </c>
      <c r="D39" t="s">
        <v>72</v>
      </c>
      <c r="E39" s="9">
        <v>1</v>
      </c>
      <c r="F39" s="9" t="str">
        <f>_xll.XLOOKUP(C39,[1]Customers!$A:$A,[1]Customers!$D:$D,"-")</f>
        <v>Bronze</v>
      </c>
      <c r="G39" s="9" t="str">
        <f>IF(AND(COUNTIF([1]Customers!$A:$A,C39)&gt;0,COUNTIF([1]Products!$A:$A,D39)&gt;0),"Valid","Invalid")</f>
        <v>Valid</v>
      </c>
      <c r="H39" s="8"/>
      <c r="I39" s="8"/>
    </row>
    <row r="40" spans="1:9" x14ac:dyDescent="0.25">
      <c r="A40" t="s">
        <v>49</v>
      </c>
      <c r="B40" t="s">
        <v>116</v>
      </c>
      <c r="C40" t="s">
        <v>299</v>
      </c>
      <c r="D40" t="s">
        <v>69</v>
      </c>
      <c r="E40" s="9">
        <v>1</v>
      </c>
      <c r="F40" s="9" t="str">
        <f>_xll.XLOOKUP(C40,[1]Customers!$A:$A,[1]Customers!$D:$D,"-")</f>
        <v>Gold</v>
      </c>
      <c r="G40" s="9" t="str">
        <f>IF(AND(COUNTIF([1]Customers!$A:$A,C40)&gt;0,COUNTIF([1]Products!$A:$A,D40)&gt;0),"Valid","Invalid")</f>
        <v>Valid</v>
      </c>
    </row>
    <row r="41" spans="1:9" x14ac:dyDescent="0.25">
      <c r="A41" t="s">
        <v>53</v>
      </c>
      <c r="B41" t="s">
        <v>117</v>
      </c>
      <c r="C41" t="s">
        <v>302</v>
      </c>
      <c r="D41" t="s">
        <v>73</v>
      </c>
      <c r="E41" s="9">
        <v>2</v>
      </c>
      <c r="F41" s="9" t="str">
        <f>_xll.XLOOKUP(C41,[1]Customers!$A:$A,[1]Customers!$D:$D,"-")</f>
        <v>Gold</v>
      </c>
      <c r="G41" s="9" t="str">
        <f>IF(AND(COUNTIF([1]Customers!$A:$A,C41)&gt;0,COUNTIF([1]Products!$A:$A,D41)&gt;0),"Valid","Invalid")</f>
        <v>Valid</v>
      </c>
    </row>
    <row r="42" spans="1:9" x14ac:dyDescent="0.25">
      <c r="A42" t="s">
        <v>27</v>
      </c>
      <c r="B42" t="s">
        <v>118</v>
      </c>
      <c r="C42" t="s">
        <v>301</v>
      </c>
      <c r="D42" t="s">
        <v>69</v>
      </c>
      <c r="E42" s="9">
        <v>3</v>
      </c>
      <c r="F42" s="9" t="str">
        <f>_xll.XLOOKUP(C42,[1]Customers!$A:$A,[1]Customers!$D:$D,"-")</f>
        <v>Silver</v>
      </c>
      <c r="G42" s="9" t="str">
        <f>IF(AND(COUNTIF([1]Customers!$A:$A,C42)&gt;0,COUNTIF([1]Products!$A:$A,D42)&gt;0),"Valid","Invalid")</f>
        <v>Valid</v>
      </c>
    </row>
    <row r="43" spans="1:9" x14ac:dyDescent="0.25">
      <c r="A43" t="s">
        <v>17</v>
      </c>
      <c r="B43" t="s">
        <v>119</v>
      </c>
      <c r="C43" t="s">
        <v>300</v>
      </c>
      <c r="D43" t="s">
        <v>68</v>
      </c>
      <c r="E43" s="9">
        <v>2</v>
      </c>
      <c r="F43" s="9" t="str">
        <f>_xll.XLOOKUP(C43,[1]Customers!$A:$A,[1]Customers!$D:$D,"-")</f>
        <v>Bronze</v>
      </c>
      <c r="G43" s="9" t="str">
        <f>IF(AND(COUNTIF([1]Customers!$A:$A,C43)&gt;0,COUNTIF([1]Products!$A:$A,D43)&gt;0),"Valid","Invalid")</f>
        <v>Valid</v>
      </c>
    </row>
    <row r="44" spans="1:9" x14ac:dyDescent="0.25">
      <c r="A44" t="s">
        <v>15</v>
      </c>
      <c r="B44" t="s">
        <v>120</v>
      </c>
      <c r="C44" t="s">
        <v>301</v>
      </c>
      <c r="D44" t="s">
        <v>70</v>
      </c>
      <c r="E44" s="9">
        <v>1</v>
      </c>
      <c r="F44" s="9" t="str">
        <f>_xll.XLOOKUP(C44,[1]Customers!$A:$A,[1]Customers!$D:$D,"-")</f>
        <v>Silver</v>
      </c>
      <c r="G44" s="9" t="str">
        <f>IF(AND(COUNTIF([1]Customers!$A:$A,C44)&gt;0,COUNTIF([1]Products!$A:$A,D44)&gt;0),"Valid","Invalid")</f>
        <v>Valid</v>
      </c>
    </row>
    <row r="45" spans="1:9" x14ac:dyDescent="0.25">
      <c r="A45" t="s">
        <v>57</v>
      </c>
      <c r="B45" t="s">
        <v>121</v>
      </c>
      <c r="C45" t="s">
        <v>299</v>
      </c>
      <c r="D45" t="s">
        <v>73</v>
      </c>
      <c r="E45" s="9">
        <v>2</v>
      </c>
      <c r="F45" s="9" t="str">
        <f>_xll.XLOOKUP(C45,[1]Customers!$A:$A,[1]Customers!$D:$D,"-")</f>
        <v>Gold</v>
      </c>
      <c r="G45" s="9" t="str">
        <f>IF(AND(COUNTIF([1]Customers!$A:$A,C45)&gt;0,COUNTIF([1]Products!$A:$A,D45)&gt;0),"Valid","Invalid")</f>
        <v>Valid</v>
      </c>
    </row>
    <row r="46" spans="1:9" x14ac:dyDescent="0.25">
      <c r="A46" t="s">
        <v>47</v>
      </c>
      <c r="B46" t="s">
        <v>122</v>
      </c>
      <c r="C46" t="s">
        <v>302</v>
      </c>
      <c r="D46" t="s">
        <v>71</v>
      </c>
      <c r="E46" s="9">
        <v>1</v>
      </c>
      <c r="F46" s="9" t="str">
        <f>_xll.XLOOKUP(C46,[1]Customers!$A:$A,[1]Customers!$D:$D,"-")</f>
        <v>Gold</v>
      </c>
      <c r="G46" s="9" t="str">
        <f>IF(AND(COUNTIF([1]Customers!$A:$A,C46)&gt;0,COUNTIF([1]Products!$A:$A,D46)&gt;0),"Valid","Invalid")</f>
        <v>Valid</v>
      </c>
    </row>
    <row r="47" spans="1:9" x14ac:dyDescent="0.25">
      <c r="A47" t="s">
        <v>49</v>
      </c>
      <c r="B47" t="s">
        <v>123</v>
      </c>
      <c r="C47" t="s">
        <v>302</v>
      </c>
      <c r="D47" t="s">
        <v>70</v>
      </c>
      <c r="E47" s="9">
        <v>4</v>
      </c>
      <c r="F47" s="9" t="str">
        <f>_xll.XLOOKUP(C47,[1]Customers!$A:$A,[1]Customers!$D:$D,"-")</f>
        <v>Gold</v>
      </c>
      <c r="G47" s="9" t="str">
        <f>IF(AND(COUNTIF([1]Customers!$A:$A,C47)&gt;0,COUNTIF([1]Products!$A:$A,D47)&gt;0),"Valid","Invalid")</f>
        <v>Valid</v>
      </c>
    </row>
    <row r="48" spans="1:9" x14ac:dyDescent="0.25">
      <c r="A48" t="s">
        <v>8</v>
      </c>
      <c r="B48" t="s">
        <v>124</v>
      </c>
      <c r="C48" t="s">
        <v>301</v>
      </c>
      <c r="D48" t="s">
        <v>71</v>
      </c>
      <c r="E48" s="9">
        <v>2</v>
      </c>
      <c r="F48" s="9" t="str">
        <f>_xll.XLOOKUP(C48,[1]Customers!$A:$A,[1]Customers!$D:$D,"-")</f>
        <v>Silver</v>
      </c>
      <c r="G48" s="9" t="str">
        <f>IF(AND(COUNTIF([1]Customers!$A:$A,C48)&gt;0,COUNTIF([1]Products!$A:$A,D48)&gt;0),"Valid","Invalid")</f>
        <v>Valid</v>
      </c>
    </row>
    <row r="49" spans="1:7" x14ac:dyDescent="0.25">
      <c r="A49" t="s">
        <v>12</v>
      </c>
      <c r="B49" t="s">
        <v>125</v>
      </c>
      <c r="C49" t="s">
        <v>298</v>
      </c>
      <c r="D49" t="s">
        <v>304</v>
      </c>
      <c r="E49" s="9">
        <v>2</v>
      </c>
      <c r="F49" s="9" t="str">
        <f>_xll.XLOOKUP(C49,[1]Customers!$A:$A,[1]Customers!$D:$D,"-")</f>
        <v>Silver</v>
      </c>
      <c r="G49" s="9" t="str">
        <f>IF(AND(COUNTIF([1]Customers!$A:$A,C49)&gt;0,COUNTIF([1]Products!$A:$A,D49)&gt;0),"Valid","Invalid")</f>
        <v>Invalid</v>
      </c>
    </row>
    <row r="50" spans="1:7" x14ac:dyDescent="0.25">
      <c r="A50" t="s">
        <v>17</v>
      </c>
      <c r="B50" t="s">
        <v>126</v>
      </c>
      <c r="C50" t="s">
        <v>301</v>
      </c>
      <c r="D50" t="s">
        <v>70</v>
      </c>
      <c r="E50" s="9">
        <v>1</v>
      </c>
      <c r="F50" s="9" t="str">
        <f>_xll.XLOOKUP(C50,[1]Customers!$A:$A,[1]Customers!$D:$D,"-")</f>
        <v>Silver</v>
      </c>
      <c r="G50" s="9" t="str">
        <f>IF(AND(COUNTIF([1]Customers!$A:$A,C50)&gt;0,COUNTIF([1]Products!$A:$A,D50)&gt;0),"Valid","Invalid")</f>
        <v>Valid</v>
      </c>
    </row>
    <row r="51" spans="1:7" x14ac:dyDescent="0.25">
      <c r="A51" t="s">
        <v>15</v>
      </c>
      <c r="B51" t="s">
        <v>127</v>
      </c>
      <c r="C51" t="s">
        <v>301</v>
      </c>
      <c r="D51" t="s">
        <v>72</v>
      </c>
      <c r="E51" s="9">
        <v>4</v>
      </c>
      <c r="F51" s="9" t="str">
        <f>_xll.XLOOKUP(C51,[1]Customers!$A:$A,[1]Customers!$D:$D,"-")</f>
        <v>Silver</v>
      </c>
      <c r="G51" s="9" t="str">
        <f>IF(AND(COUNTIF([1]Customers!$A:$A,C51)&gt;0,COUNTIF([1]Products!$A:$A,D51)&gt;0),"Valid","Invalid")</f>
        <v>Valid</v>
      </c>
    </row>
    <row r="52" spans="1:7" x14ac:dyDescent="0.25">
      <c r="A52" t="s">
        <v>8</v>
      </c>
      <c r="B52" t="s">
        <v>128</v>
      </c>
      <c r="C52" t="s">
        <v>301</v>
      </c>
      <c r="D52" t="s">
        <v>72</v>
      </c>
      <c r="E52" s="9">
        <v>2</v>
      </c>
      <c r="F52" s="9" t="str">
        <f>_xll.XLOOKUP(C52,[1]Customers!$A:$A,[1]Customers!$D:$D,"-")</f>
        <v>Silver</v>
      </c>
      <c r="G52" s="9" t="str">
        <f>IF(AND(COUNTIF([1]Customers!$A:$A,C52)&gt;0,COUNTIF([1]Products!$A:$A,D52)&gt;0),"Valid","Invalid")</f>
        <v>Valid</v>
      </c>
    </row>
    <row r="53" spans="1:7" x14ac:dyDescent="0.25">
      <c r="A53" t="s">
        <v>13</v>
      </c>
      <c r="B53" t="s">
        <v>129</v>
      </c>
      <c r="C53" t="s">
        <v>303</v>
      </c>
      <c r="D53" t="s">
        <v>71</v>
      </c>
      <c r="E53" s="9">
        <v>4</v>
      </c>
      <c r="F53" s="9" t="str">
        <f>_xll.XLOOKUP(C53,[1]Customers!$A:$A,[1]Customers!$D:$D,"-")</f>
        <v>-</v>
      </c>
      <c r="G53" s="9" t="str">
        <f>IF(AND(COUNTIF([1]Customers!$A:$A,C53)&gt;0,COUNTIF([1]Products!$A:$A,D53)&gt;0),"Valid","Invalid")</f>
        <v>Invalid</v>
      </c>
    </row>
    <row r="54" spans="1:7" x14ac:dyDescent="0.25">
      <c r="A54" t="s">
        <v>19</v>
      </c>
      <c r="B54" t="s">
        <v>130</v>
      </c>
      <c r="C54" t="s">
        <v>298</v>
      </c>
      <c r="D54" t="s">
        <v>73</v>
      </c>
      <c r="E54" s="9">
        <v>4</v>
      </c>
      <c r="F54" s="9" t="str">
        <f>_xll.XLOOKUP(C54,[1]Customers!$A:$A,[1]Customers!$D:$D,"-")</f>
        <v>Silver</v>
      </c>
      <c r="G54" s="9" t="str">
        <f>IF(AND(COUNTIF([1]Customers!$A:$A,C54)&gt;0,COUNTIF([1]Products!$A:$A,D54)&gt;0),"Valid","Invalid")</f>
        <v>Valid</v>
      </c>
    </row>
    <row r="55" spans="1:7" x14ac:dyDescent="0.25">
      <c r="A55" t="s">
        <v>44</v>
      </c>
      <c r="B55" t="s">
        <v>131</v>
      </c>
      <c r="C55" t="s">
        <v>298</v>
      </c>
      <c r="D55" t="s">
        <v>72</v>
      </c>
      <c r="E55" s="9">
        <v>4</v>
      </c>
      <c r="F55" s="9" t="str">
        <f>_xll.XLOOKUP(C55,[1]Customers!$A:$A,[1]Customers!$D:$D,"-")</f>
        <v>Silver</v>
      </c>
      <c r="G55" s="9" t="str">
        <f>IF(AND(COUNTIF([1]Customers!$A:$A,C55)&gt;0,COUNTIF([1]Products!$A:$A,D55)&gt;0),"Valid","Invalid")</f>
        <v>Valid</v>
      </c>
    </row>
    <row r="56" spans="1:7" x14ac:dyDescent="0.25">
      <c r="A56" t="s">
        <v>27</v>
      </c>
      <c r="B56" t="s">
        <v>132</v>
      </c>
      <c r="C56" t="s">
        <v>302</v>
      </c>
      <c r="D56" t="s">
        <v>68</v>
      </c>
      <c r="E56" s="9">
        <v>4</v>
      </c>
      <c r="F56" s="9" t="str">
        <f>_xll.XLOOKUP(C56,[1]Customers!$A:$A,[1]Customers!$D:$D,"-")</f>
        <v>Gold</v>
      </c>
      <c r="G56" s="9" t="str">
        <f>IF(AND(COUNTIF([1]Customers!$A:$A,C56)&gt;0,COUNTIF([1]Products!$A:$A,D56)&gt;0),"Valid","Invalid")</f>
        <v>Valid</v>
      </c>
    </row>
    <row r="57" spans="1:7" x14ac:dyDescent="0.25">
      <c r="A57" t="s">
        <v>44</v>
      </c>
      <c r="B57" t="s">
        <v>133</v>
      </c>
      <c r="C57" t="s">
        <v>299</v>
      </c>
      <c r="D57" t="s">
        <v>68</v>
      </c>
      <c r="E57" s="9">
        <v>3</v>
      </c>
      <c r="F57" s="9" t="str">
        <f>_xll.XLOOKUP(C57,[1]Customers!$A:$A,[1]Customers!$D:$D,"-")</f>
        <v>Gold</v>
      </c>
      <c r="G57" s="9" t="str">
        <f>IF(AND(COUNTIF([1]Customers!$A:$A,C57)&gt;0,COUNTIF([1]Products!$A:$A,D57)&gt;0),"Valid","Invalid")</f>
        <v>Valid</v>
      </c>
    </row>
    <row r="58" spans="1:7" x14ac:dyDescent="0.25">
      <c r="A58" t="s">
        <v>45</v>
      </c>
      <c r="B58" t="s">
        <v>134</v>
      </c>
      <c r="C58" t="s">
        <v>301</v>
      </c>
      <c r="D58" t="s">
        <v>71</v>
      </c>
      <c r="E58" s="9">
        <v>2</v>
      </c>
      <c r="F58" s="9" t="str">
        <f>_xll.XLOOKUP(C58,[1]Customers!$A:$A,[1]Customers!$D:$D,"-")</f>
        <v>Silver</v>
      </c>
      <c r="G58" s="9" t="str">
        <f>IF(AND(COUNTIF([1]Customers!$A:$A,C58)&gt;0,COUNTIF([1]Products!$A:$A,D58)&gt;0),"Valid","Invalid")</f>
        <v>Valid</v>
      </c>
    </row>
    <row r="59" spans="1:7" x14ac:dyDescent="0.25">
      <c r="A59" t="s">
        <v>23</v>
      </c>
      <c r="B59" t="s">
        <v>135</v>
      </c>
      <c r="C59" t="s">
        <v>301</v>
      </c>
      <c r="D59" t="s">
        <v>72</v>
      </c>
      <c r="E59" s="9">
        <v>1</v>
      </c>
      <c r="F59" s="9" t="str">
        <f>_xll.XLOOKUP(C59,[1]Customers!$A:$A,[1]Customers!$D:$D,"-")</f>
        <v>Silver</v>
      </c>
      <c r="G59" s="9" t="str">
        <f>IF(AND(COUNTIF([1]Customers!$A:$A,C59)&gt;0,COUNTIF([1]Products!$A:$A,D59)&gt;0),"Valid","Invalid")</f>
        <v>Valid</v>
      </c>
    </row>
    <row r="60" spans="1:7" x14ac:dyDescent="0.25">
      <c r="A60" t="s">
        <v>15</v>
      </c>
      <c r="B60" t="s">
        <v>136</v>
      </c>
      <c r="C60" t="s">
        <v>300</v>
      </c>
      <c r="D60" t="s">
        <v>68</v>
      </c>
      <c r="E60" s="9">
        <v>4</v>
      </c>
      <c r="F60" s="9" t="str">
        <f>_xll.XLOOKUP(C60,[1]Customers!$A:$A,[1]Customers!$D:$D,"-")</f>
        <v>Bronze</v>
      </c>
      <c r="G60" s="9" t="str">
        <f>IF(AND(COUNTIF([1]Customers!$A:$A,C60)&gt;0,COUNTIF([1]Products!$A:$A,D60)&gt;0),"Valid","Invalid")</f>
        <v>Valid</v>
      </c>
    </row>
    <row r="61" spans="1:7" x14ac:dyDescent="0.25">
      <c r="A61" t="s">
        <v>37</v>
      </c>
      <c r="B61" t="s">
        <v>137</v>
      </c>
      <c r="C61" t="s">
        <v>300</v>
      </c>
      <c r="D61" t="s">
        <v>72</v>
      </c>
      <c r="E61" s="9">
        <v>4</v>
      </c>
      <c r="F61" s="9" t="str">
        <f>_xll.XLOOKUP(C61,[1]Customers!$A:$A,[1]Customers!$D:$D,"-")</f>
        <v>Bronze</v>
      </c>
      <c r="G61" s="9" t="str">
        <f>IF(AND(COUNTIF([1]Customers!$A:$A,C61)&gt;0,COUNTIF([1]Products!$A:$A,D61)&gt;0),"Valid","Invalid")</f>
        <v>Valid</v>
      </c>
    </row>
    <row r="62" spans="1:7" x14ac:dyDescent="0.25">
      <c r="A62" t="s">
        <v>20</v>
      </c>
      <c r="B62" t="s">
        <v>138</v>
      </c>
      <c r="C62" t="s">
        <v>298</v>
      </c>
      <c r="D62" t="s">
        <v>73</v>
      </c>
      <c r="E62" s="9">
        <v>2</v>
      </c>
      <c r="F62" s="9" t="str">
        <f>_xll.XLOOKUP(C62,[1]Customers!$A:$A,[1]Customers!$D:$D,"-")</f>
        <v>Silver</v>
      </c>
      <c r="G62" s="9" t="str">
        <f>IF(AND(COUNTIF([1]Customers!$A:$A,C62)&gt;0,COUNTIF([1]Products!$A:$A,D62)&gt;0),"Valid","Invalid")</f>
        <v>Valid</v>
      </c>
    </row>
    <row r="63" spans="1:7" x14ac:dyDescent="0.25">
      <c r="A63" t="s">
        <v>48</v>
      </c>
      <c r="B63" t="s">
        <v>139</v>
      </c>
      <c r="C63" t="s">
        <v>302</v>
      </c>
      <c r="D63" t="s">
        <v>71</v>
      </c>
      <c r="E63" s="9">
        <v>4</v>
      </c>
      <c r="F63" s="9" t="str">
        <f>_xll.XLOOKUP(C63,[1]Customers!$A:$A,[1]Customers!$D:$D,"-")</f>
        <v>Gold</v>
      </c>
      <c r="G63" s="9" t="str">
        <f>IF(AND(COUNTIF([1]Customers!$A:$A,C63)&gt;0,COUNTIF([1]Products!$A:$A,D63)&gt;0),"Valid","Invalid")</f>
        <v>Valid</v>
      </c>
    </row>
    <row r="64" spans="1:7" x14ac:dyDescent="0.25">
      <c r="A64" t="s">
        <v>63</v>
      </c>
      <c r="B64" t="s">
        <v>140</v>
      </c>
      <c r="C64" t="s">
        <v>298</v>
      </c>
      <c r="D64" t="s">
        <v>69</v>
      </c>
      <c r="E64" s="9">
        <v>4</v>
      </c>
      <c r="F64" s="9" t="str">
        <f>_xll.XLOOKUP(C64,[1]Customers!$A:$A,[1]Customers!$D:$D,"-")</f>
        <v>Silver</v>
      </c>
      <c r="G64" s="9" t="str">
        <f>IF(AND(COUNTIF([1]Customers!$A:$A,C64)&gt;0,COUNTIF([1]Products!$A:$A,D64)&gt;0),"Valid","Invalid")</f>
        <v>Valid</v>
      </c>
    </row>
    <row r="65" spans="1:10" x14ac:dyDescent="0.25">
      <c r="A65" t="s">
        <v>9</v>
      </c>
      <c r="B65" t="s">
        <v>141</v>
      </c>
      <c r="C65" t="s">
        <v>303</v>
      </c>
      <c r="D65" t="s">
        <v>69</v>
      </c>
      <c r="E65" s="9">
        <v>2</v>
      </c>
      <c r="F65" s="9" t="str">
        <f>_xll.XLOOKUP(C65,[1]Customers!$A:$A,[1]Customers!$D:$D,"-")</f>
        <v>-</v>
      </c>
      <c r="G65" s="9" t="str">
        <f>IF(AND(COUNTIF([1]Customers!$A:$A,C65)&gt;0,COUNTIF([1]Products!$A:$A,D65)&gt;0),"Valid","Invalid")</f>
        <v>Invalid</v>
      </c>
    </row>
    <row r="66" spans="1:10" x14ac:dyDescent="0.25">
      <c r="A66" t="s">
        <v>45</v>
      </c>
      <c r="B66" t="s">
        <v>142</v>
      </c>
      <c r="C66" t="s">
        <v>299</v>
      </c>
      <c r="D66" t="s">
        <v>68</v>
      </c>
      <c r="E66" s="9">
        <v>2</v>
      </c>
      <c r="F66" s="9" t="str">
        <f>_xll.XLOOKUP(C66,[1]Customers!$A:$A,[1]Customers!$D:$D,"-")</f>
        <v>Gold</v>
      </c>
      <c r="G66" s="9" t="str">
        <f>IF(AND(COUNTIF([1]Customers!$A:$A,C66)&gt;0,COUNTIF([1]Products!$A:$A,D66)&gt;0),"Valid","Invalid")</f>
        <v>Valid</v>
      </c>
    </row>
    <row r="67" spans="1:10" x14ac:dyDescent="0.25">
      <c r="A67" t="s">
        <v>50</v>
      </c>
      <c r="B67" t="s">
        <v>143</v>
      </c>
      <c r="C67" t="s">
        <v>299</v>
      </c>
      <c r="D67" t="s">
        <v>70</v>
      </c>
      <c r="E67" s="9">
        <v>1</v>
      </c>
      <c r="F67" s="9" t="str">
        <f>_xll.XLOOKUP(C67,[1]Customers!$A:$A,[1]Customers!$D:$D,"-")</f>
        <v>Gold</v>
      </c>
      <c r="G67" s="9" t="str">
        <f>IF(AND(COUNTIF([1]Customers!$A:$A,C67)&gt;0,COUNTIF([1]Products!$A:$A,D67)&gt;0),"Valid","Invalid")</f>
        <v>Valid</v>
      </c>
    </row>
    <row r="68" spans="1:10" x14ac:dyDescent="0.25">
      <c r="A68" t="s">
        <v>4</v>
      </c>
      <c r="B68" t="s">
        <v>144</v>
      </c>
      <c r="C68" t="s">
        <v>301</v>
      </c>
      <c r="D68" t="s">
        <v>71</v>
      </c>
      <c r="E68" s="9">
        <v>1</v>
      </c>
      <c r="F68" s="9" t="str">
        <f>_xll.XLOOKUP(C68,[1]Customers!$A:$A,[1]Customers!$D:$D,"-")</f>
        <v>Silver</v>
      </c>
      <c r="G68" s="9" t="str">
        <f>IF(AND(COUNTIF([1]Customers!$A:$A,C68)&gt;0,COUNTIF([1]Products!$A:$A,D68)&gt;0),"Valid","Invalid")</f>
        <v>Valid</v>
      </c>
    </row>
    <row r="69" spans="1:10" x14ac:dyDescent="0.25">
      <c r="A69" t="s">
        <v>6</v>
      </c>
      <c r="B69" t="s">
        <v>145</v>
      </c>
      <c r="C69" t="s">
        <v>299</v>
      </c>
      <c r="D69" t="s">
        <v>69</v>
      </c>
      <c r="E69" s="9">
        <v>2</v>
      </c>
      <c r="F69" s="9" t="str">
        <f>_xll.XLOOKUP(C69,[1]Customers!$A:$A,[1]Customers!$D:$D,"-")</f>
        <v>Gold</v>
      </c>
      <c r="G69" s="9" t="str">
        <f>IF(AND(COUNTIF([1]Customers!$A:$A,C69)&gt;0,COUNTIF([1]Products!$A:$A,D69)&gt;0),"Valid","Invalid")</f>
        <v>Valid</v>
      </c>
    </row>
    <row r="70" spans="1:10" x14ac:dyDescent="0.25">
      <c r="A70" t="s">
        <v>54</v>
      </c>
      <c r="B70" t="s">
        <v>146</v>
      </c>
      <c r="C70" t="s">
        <v>298</v>
      </c>
      <c r="D70" t="s">
        <v>70</v>
      </c>
      <c r="E70" s="9">
        <v>3</v>
      </c>
      <c r="F70" s="9" t="str">
        <f>_xll.XLOOKUP(C70,[1]Customers!$A:$A,[1]Customers!$D:$D,"-")</f>
        <v>Silver</v>
      </c>
      <c r="G70" s="9" t="str">
        <f>IF(AND(COUNTIF([1]Customers!$A:$A,C70)&gt;0,COUNTIF([1]Products!$A:$A,D70)&gt;0),"Valid","Invalid")</f>
        <v>Valid</v>
      </c>
    </row>
    <row r="71" spans="1:10" x14ac:dyDescent="0.25">
      <c r="A71" t="s">
        <v>9</v>
      </c>
      <c r="B71" t="s">
        <v>147</v>
      </c>
      <c r="C71" t="s">
        <v>301</v>
      </c>
      <c r="D71" t="s">
        <v>304</v>
      </c>
      <c r="E71" s="9">
        <v>1</v>
      </c>
      <c r="F71" s="9" t="str">
        <f>_xll.XLOOKUP(C71,[1]Customers!$A:$A,[1]Customers!$D:$D,"-")</f>
        <v>Silver</v>
      </c>
      <c r="G71" s="9" t="str">
        <f>IF(AND(COUNTIF([1]Customers!$A:$A,C71)&gt;0,COUNTIF([1]Products!$A:$A,D71)&gt;0),"Valid","Invalid")</f>
        <v>Invalid</v>
      </c>
    </row>
    <row r="72" spans="1:10" x14ac:dyDescent="0.25">
      <c r="A72" t="s">
        <v>29</v>
      </c>
      <c r="B72" t="s">
        <v>148</v>
      </c>
      <c r="C72" t="s">
        <v>301</v>
      </c>
      <c r="D72" t="s">
        <v>72</v>
      </c>
      <c r="E72" s="9">
        <v>3</v>
      </c>
      <c r="F72" s="9" t="str">
        <f>_xll.XLOOKUP(C72,[1]Customers!$A:$A,[1]Customers!$D:$D,"-")</f>
        <v>Silver</v>
      </c>
      <c r="G72" s="9" t="str">
        <f>IF(AND(COUNTIF([1]Customers!$A:$A,C72)&gt;0,COUNTIF([1]Products!$A:$A,D72)&gt;0),"Valid","Invalid")</f>
        <v>Valid</v>
      </c>
    </row>
    <row r="73" spans="1:10" x14ac:dyDescent="0.25">
      <c r="A73" t="s">
        <v>45</v>
      </c>
      <c r="B73" t="s">
        <v>149</v>
      </c>
      <c r="C73" t="s">
        <v>298</v>
      </c>
      <c r="D73" t="s">
        <v>72</v>
      </c>
      <c r="E73" s="9">
        <v>3</v>
      </c>
      <c r="F73" s="9" t="str">
        <f>_xll.XLOOKUP(C73,[1]Customers!$A:$A,[1]Customers!$D:$D,"-")</f>
        <v>Silver</v>
      </c>
      <c r="G73" s="9" t="str">
        <f>IF(AND(COUNTIF([1]Customers!$A:$A,C73)&gt;0,COUNTIF([1]Products!$A:$A,D73)&gt;0),"Valid","Invalid")</f>
        <v>Valid</v>
      </c>
      <c r="H73" s="8"/>
      <c r="I73" s="8"/>
      <c r="J73" s="8"/>
    </row>
    <row r="74" spans="1:10" x14ac:dyDescent="0.25">
      <c r="A74" t="s">
        <v>77</v>
      </c>
      <c r="B74" t="s">
        <v>150</v>
      </c>
      <c r="C74" t="s">
        <v>301</v>
      </c>
      <c r="D74" t="s">
        <v>71</v>
      </c>
      <c r="E74" s="9">
        <v>3</v>
      </c>
      <c r="F74" s="9" t="str">
        <f>_xll.XLOOKUP(C74,[1]Customers!$A:$A,[1]Customers!$D:$D,"-")</f>
        <v>Silver</v>
      </c>
      <c r="G74" s="9" t="str">
        <f>IF(AND(COUNTIF([1]Customers!$A:$A,C74)&gt;0,COUNTIF([1]Products!$A:$A,D74)&gt;0),"Valid","Invalid")</f>
        <v>Valid</v>
      </c>
    </row>
    <row r="75" spans="1:10" x14ac:dyDescent="0.25">
      <c r="A75" t="s">
        <v>15</v>
      </c>
      <c r="B75" t="s">
        <v>151</v>
      </c>
      <c r="C75" t="s">
        <v>299</v>
      </c>
      <c r="D75" t="s">
        <v>69</v>
      </c>
      <c r="E75" s="9">
        <v>1</v>
      </c>
      <c r="F75" s="9" t="str">
        <f>_xll.XLOOKUP(C75,[1]Customers!$A:$A,[1]Customers!$D:$D,"-")</f>
        <v>Gold</v>
      </c>
      <c r="G75" s="9" t="str">
        <f>IF(AND(COUNTIF([1]Customers!$A:$A,C75)&gt;0,COUNTIF([1]Products!$A:$A,D75)&gt;0),"Valid","Invalid")</f>
        <v>Valid</v>
      </c>
    </row>
    <row r="76" spans="1:10" x14ac:dyDescent="0.25">
      <c r="A76" t="s">
        <v>26</v>
      </c>
      <c r="B76" t="s">
        <v>152</v>
      </c>
      <c r="C76" t="s">
        <v>303</v>
      </c>
      <c r="D76" t="s">
        <v>71</v>
      </c>
      <c r="E76" s="9">
        <v>3</v>
      </c>
      <c r="F76" s="9" t="str">
        <f>_xll.XLOOKUP(C76,[1]Customers!$A:$A,[1]Customers!$D:$D,"-")</f>
        <v>-</v>
      </c>
      <c r="G76" s="9" t="str">
        <f>IF(AND(COUNTIF([1]Customers!$A:$A,C76)&gt;0,COUNTIF([1]Products!$A:$A,D76)&gt;0),"Valid","Invalid")</f>
        <v>Invalid</v>
      </c>
    </row>
    <row r="77" spans="1:10" x14ac:dyDescent="0.25">
      <c r="A77" t="s">
        <v>53</v>
      </c>
      <c r="B77" t="s">
        <v>153</v>
      </c>
      <c r="C77" t="s">
        <v>301</v>
      </c>
      <c r="D77" t="s">
        <v>69</v>
      </c>
      <c r="E77" s="9">
        <v>2</v>
      </c>
      <c r="F77" s="9" t="str">
        <f>_xll.XLOOKUP(C77,[1]Customers!$A:$A,[1]Customers!$D:$D,"-")</f>
        <v>Silver</v>
      </c>
      <c r="G77" s="9" t="str">
        <f>IF(AND(COUNTIF([1]Customers!$A:$A,C77)&gt;0,COUNTIF([1]Products!$A:$A,D77)&gt;0),"Valid","Invalid")</f>
        <v>Valid</v>
      </c>
    </row>
    <row r="78" spans="1:10" x14ac:dyDescent="0.25">
      <c r="A78" t="s">
        <v>29</v>
      </c>
      <c r="B78" t="s">
        <v>154</v>
      </c>
      <c r="C78" t="s">
        <v>300</v>
      </c>
      <c r="D78" t="s">
        <v>73</v>
      </c>
      <c r="E78" s="9">
        <v>4</v>
      </c>
      <c r="F78" s="9" t="str">
        <f>_xll.XLOOKUP(C78,[1]Customers!$A:$A,[1]Customers!$D:$D,"-")</f>
        <v>Bronze</v>
      </c>
      <c r="G78" s="9" t="str">
        <f>IF(AND(COUNTIF([1]Customers!$A:$A,C78)&gt;0,COUNTIF([1]Products!$A:$A,D78)&gt;0),"Valid","Invalid")</f>
        <v>Valid</v>
      </c>
    </row>
    <row r="79" spans="1:10" x14ac:dyDescent="0.25">
      <c r="A79" t="s">
        <v>53</v>
      </c>
      <c r="B79" t="s">
        <v>155</v>
      </c>
      <c r="C79" t="s">
        <v>300</v>
      </c>
      <c r="D79" t="s">
        <v>304</v>
      </c>
      <c r="E79" s="9">
        <v>4</v>
      </c>
      <c r="F79" s="9" t="str">
        <f>_xll.XLOOKUP(C79,[1]Customers!$A:$A,[1]Customers!$D:$D,"-")</f>
        <v>Bronze</v>
      </c>
      <c r="G79" s="9" t="str">
        <f>IF(AND(COUNTIF([1]Customers!$A:$A,C79)&gt;0,COUNTIF([1]Products!$A:$A,D79)&gt;0),"Valid","Invalid")</f>
        <v>Invalid</v>
      </c>
    </row>
    <row r="80" spans="1:10" x14ac:dyDescent="0.25">
      <c r="A80" t="s">
        <v>38</v>
      </c>
      <c r="B80" t="s">
        <v>156</v>
      </c>
      <c r="C80" t="s">
        <v>300</v>
      </c>
      <c r="D80" t="s">
        <v>304</v>
      </c>
      <c r="E80" s="9">
        <v>2</v>
      </c>
      <c r="F80" s="9" t="str">
        <f>_xll.XLOOKUP(C80,[1]Customers!$A:$A,[1]Customers!$D:$D,"-")</f>
        <v>Bronze</v>
      </c>
      <c r="G80" s="9" t="str">
        <f>IF(AND(COUNTIF([1]Customers!$A:$A,C80)&gt;0,COUNTIF([1]Products!$A:$A,D80)&gt;0),"Valid","Invalid")</f>
        <v>Invalid</v>
      </c>
    </row>
    <row r="81" spans="1:7" x14ac:dyDescent="0.25">
      <c r="A81" t="s">
        <v>60</v>
      </c>
      <c r="B81" t="s">
        <v>157</v>
      </c>
      <c r="C81" t="s">
        <v>302</v>
      </c>
      <c r="D81" t="s">
        <v>70</v>
      </c>
      <c r="E81" s="9">
        <v>4</v>
      </c>
      <c r="F81" s="9" t="str">
        <f>_xll.XLOOKUP(C81,[1]Customers!$A:$A,[1]Customers!$D:$D,"-")</f>
        <v>Gold</v>
      </c>
      <c r="G81" s="9" t="str">
        <f>IF(AND(COUNTIF([1]Customers!$A:$A,C81)&gt;0,COUNTIF([1]Products!$A:$A,D81)&gt;0),"Valid","Invalid")</f>
        <v>Valid</v>
      </c>
    </row>
    <row r="82" spans="1:7" x14ac:dyDescent="0.25">
      <c r="A82" t="s">
        <v>39</v>
      </c>
      <c r="B82" t="s">
        <v>158</v>
      </c>
      <c r="C82" t="s">
        <v>298</v>
      </c>
      <c r="D82" t="s">
        <v>69</v>
      </c>
      <c r="E82" s="9">
        <v>3</v>
      </c>
      <c r="F82" s="9" t="str">
        <f>_xll.XLOOKUP(C82,[1]Customers!$A:$A,[1]Customers!$D:$D,"-")</f>
        <v>Silver</v>
      </c>
      <c r="G82" s="9" t="str">
        <f>IF(AND(COUNTIF([1]Customers!$A:$A,C82)&gt;0,COUNTIF([1]Products!$A:$A,D82)&gt;0),"Valid","Invalid")</f>
        <v>Valid</v>
      </c>
    </row>
    <row r="83" spans="1:7" x14ac:dyDescent="0.25">
      <c r="A83" t="s">
        <v>42</v>
      </c>
      <c r="B83" t="s">
        <v>159</v>
      </c>
      <c r="C83" t="s">
        <v>301</v>
      </c>
      <c r="D83" t="s">
        <v>73</v>
      </c>
      <c r="E83" s="9">
        <v>3</v>
      </c>
      <c r="F83" s="9" t="str">
        <f>_xll.XLOOKUP(C83,[1]Customers!$A:$A,[1]Customers!$D:$D,"-")</f>
        <v>Silver</v>
      </c>
      <c r="G83" s="9" t="str">
        <f>IF(AND(COUNTIF([1]Customers!$A:$A,C83)&gt;0,COUNTIF([1]Products!$A:$A,D83)&gt;0),"Valid","Invalid")</f>
        <v>Valid</v>
      </c>
    </row>
    <row r="84" spans="1:7" x14ac:dyDescent="0.25">
      <c r="A84" t="s">
        <v>25</v>
      </c>
      <c r="B84" t="s">
        <v>160</v>
      </c>
      <c r="C84" t="s">
        <v>302</v>
      </c>
      <c r="D84" t="s">
        <v>69</v>
      </c>
      <c r="E84" s="9">
        <v>2</v>
      </c>
      <c r="F84" s="9" t="str">
        <f>_xll.XLOOKUP(C84,[1]Customers!$A:$A,[1]Customers!$D:$D,"-")</f>
        <v>Gold</v>
      </c>
      <c r="G84" s="9" t="str">
        <f>IF(AND(COUNTIF([1]Customers!$A:$A,C84)&gt;0,COUNTIF([1]Products!$A:$A,D84)&gt;0),"Valid","Invalid")</f>
        <v>Valid</v>
      </c>
    </row>
    <row r="85" spans="1:7" x14ac:dyDescent="0.25">
      <c r="A85" t="s">
        <v>14</v>
      </c>
      <c r="B85" t="s">
        <v>161</v>
      </c>
      <c r="C85" t="s">
        <v>299</v>
      </c>
      <c r="D85" t="s">
        <v>72</v>
      </c>
      <c r="E85" s="9">
        <v>3</v>
      </c>
      <c r="F85" s="9" t="str">
        <f>_xll.XLOOKUP(C85,[1]Customers!$A:$A,[1]Customers!$D:$D,"-")</f>
        <v>Gold</v>
      </c>
      <c r="G85" s="9" t="str">
        <f>IF(AND(COUNTIF([1]Customers!$A:$A,C85)&gt;0,COUNTIF([1]Products!$A:$A,D85)&gt;0),"Valid","Invalid")</f>
        <v>Valid</v>
      </c>
    </row>
    <row r="86" spans="1:7" x14ac:dyDescent="0.25">
      <c r="A86" t="s">
        <v>11</v>
      </c>
      <c r="B86" t="s">
        <v>162</v>
      </c>
      <c r="C86" t="s">
        <v>301</v>
      </c>
      <c r="D86" t="s">
        <v>72</v>
      </c>
      <c r="E86" s="9">
        <v>2</v>
      </c>
      <c r="F86" s="9" t="str">
        <f>_xll.XLOOKUP(C86,[1]Customers!$A:$A,[1]Customers!$D:$D,"-")</f>
        <v>Silver</v>
      </c>
      <c r="G86" s="9" t="str">
        <f>IF(AND(COUNTIF([1]Customers!$A:$A,C86)&gt;0,COUNTIF([1]Products!$A:$A,D86)&gt;0),"Valid","Invalid")</f>
        <v>Valid</v>
      </c>
    </row>
    <row r="87" spans="1:7" x14ac:dyDescent="0.25">
      <c r="A87" t="s">
        <v>50</v>
      </c>
      <c r="B87" t="s">
        <v>163</v>
      </c>
      <c r="C87" t="s">
        <v>298</v>
      </c>
      <c r="D87" t="s">
        <v>70</v>
      </c>
      <c r="E87" s="9">
        <v>4</v>
      </c>
      <c r="F87" s="9" t="str">
        <f>_xll.XLOOKUP(C87,[1]Customers!$A:$A,[1]Customers!$D:$D,"-")</f>
        <v>Silver</v>
      </c>
      <c r="G87" s="9" t="str">
        <f>IF(AND(COUNTIF([1]Customers!$A:$A,C87)&gt;0,COUNTIF([1]Products!$A:$A,D87)&gt;0),"Valid","Invalid")</f>
        <v>Valid</v>
      </c>
    </row>
    <row r="88" spans="1:7" x14ac:dyDescent="0.25">
      <c r="A88" t="s">
        <v>21</v>
      </c>
      <c r="B88" t="s">
        <v>164</v>
      </c>
      <c r="C88" t="s">
        <v>299</v>
      </c>
      <c r="D88" t="s">
        <v>68</v>
      </c>
      <c r="E88" s="9">
        <v>1</v>
      </c>
      <c r="F88" s="9" t="str">
        <f>_xll.XLOOKUP(C88,[1]Customers!$A:$A,[1]Customers!$D:$D,"-")</f>
        <v>Gold</v>
      </c>
      <c r="G88" s="9" t="str">
        <f>IF(AND(COUNTIF([1]Customers!$A:$A,C88)&gt;0,COUNTIF([1]Products!$A:$A,D88)&gt;0),"Valid","Invalid")</f>
        <v>Valid</v>
      </c>
    </row>
    <row r="89" spans="1:7" x14ac:dyDescent="0.25">
      <c r="A89" t="s">
        <v>24</v>
      </c>
      <c r="B89" t="s">
        <v>165</v>
      </c>
      <c r="C89" t="s">
        <v>301</v>
      </c>
      <c r="D89" t="s">
        <v>70</v>
      </c>
      <c r="E89" s="9">
        <v>1</v>
      </c>
      <c r="F89" s="9" t="str">
        <f>_xll.XLOOKUP(C89,[1]Customers!$A:$A,[1]Customers!$D:$D,"-")</f>
        <v>Silver</v>
      </c>
      <c r="G89" s="9" t="str">
        <f>IF(AND(COUNTIF([1]Customers!$A:$A,C89)&gt;0,COUNTIF([1]Products!$A:$A,D89)&gt;0),"Valid","Invalid")</f>
        <v>Valid</v>
      </c>
    </row>
    <row r="90" spans="1:7" x14ac:dyDescent="0.25">
      <c r="A90" t="s">
        <v>41</v>
      </c>
      <c r="B90" t="s">
        <v>166</v>
      </c>
      <c r="C90" t="s">
        <v>300</v>
      </c>
      <c r="D90" t="s">
        <v>72</v>
      </c>
      <c r="E90" s="9">
        <v>3</v>
      </c>
      <c r="F90" s="9" t="str">
        <f>_xll.XLOOKUP(C90,[1]Customers!$A:$A,[1]Customers!$D:$D,"-")</f>
        <v>Bronze</v>
      </c>
      <c r="G90" s="9" t="str">
        <f>IF(AND(COUNTIF([1]Customers!$A:$A,C90)&gt;0,COUNTIF([1]Products!$A:$A,D90)&gt;0),"Valid","Invalid")</f>
        <v>Valid</v>
      </c>
    </row>
    <row r="91" spans="1:7" x14ac:dyDescent="0.25">
      <c r="A91" t="s">
        <v>61</v>
      </c>
      <c r="B91" t="s">
        <v>167</v>
      </c>
      <c r="C91" t="s">
        <v>302</v>
      </c>
      <c r="D91" t="s">
        <v>73</v>
      </c>
      <c r="E91" s="9">
        <v>1</v>
      </c>
      <c r="F91" s="9" t="str">
        <f>_xll.XLOOKUP(C91,[1]Customers!$A:$A,[1]Customers!$D:$D,"-")</f>
        <v>Gold</v>
      </c>
      <c r="G91" s="9" t="str">
        <f>IF(AND(COUNTIF([1]Customers!$A:$A,C91)&gt;0,COUNTIF([1]Products!$A:$A,D91)&gt;0),"Valid","Invalid")</f>
        <v>Valid</v>
      </c>
    </row>
    <row r="92" spans="1:7" x14ac:dyDescent="0.25">
      <c r="A92" t="s">
        <v>15</v>
      </c>
      <c r="B92" t="s">
        <v>168</v>
      </c>
      <c r="C92" t="s">
        <v>300</v>
      </c>
      <c r="D92" t="s">
        <v>68</v>
      </c>
      <c r="E92" s="9">
        <v>2</v>
      </c>
      <c r="F92" s="9" t="str">
        <f>_xll.XLOOKUP(C92,[1]Customers!$A:$A,[1]Customers!$D:$D,"-")</f>
        <v>Bronze</v>
      </c>
      <c r="G92" s="9" t="str">
        <f>IF(AND(COUNTIF([1]Customers!$A:$A,C92)&gt;0,COUNTIF([1]Products!$A:$A,D92)&gt;0),"Valid","Invalid")</f>
        <v>Valid</v>
      </c>
    </row>
    <row r="93" spans="1:7" x14ac:dyDescent="0.25">
      <c r="A93" t="s">
        <v>40</v>
      </c>
      <c r="B93" t="s">
        <v>169</v>
      </c>
      <c r="C93" t="s">
        <v>302</v>
      </c>
      <c r="D93" t="s">
        <v>70</v>
      </c>
      <c r="E93" s="9">
        <v>2</v>
      </c>
      <c r="F93" s="9" t="str">
        <f>_xll.XLOOKUP(C93,[1]Customers!$A:$A,[1]Customers!$D:$D,"-")</f>
        <v>Gold</v>
      </c>
      <c r="G93" s="9" t="str">
        <f>IF(AND(COUNTIF([1]Customers!$A:$A,C93)&gt;0,COUNTIF([1]Products!$A:$A,D93)&gt;0),"Valid","Invalid")</f>
        <v>Valid</v>
      </c>
    </row>
    <row r="94" spans="1:7" x14ac:dyDescent="0.25">
      <c r="A94" t="s">
        <v>15</v>
      </c>
      <c r="B94" t="s">
        <v>170</v>
      </c>
      <c r="C94" t="s">
        <v>299</v>
      </c>
      <c r="D94" t="s">
        <v>73</v>
      </c>
      <c r="E94" s="9">
        <v>1</v>
      </c>
      <c r="F94" s="9" t="str">
        <f>_xll.XLOOKUP(C94,[1]Customers!$A:$A,[1]Customers!$D:$D,"-")</f>
        <v>Gold</v>
      </c>
      <c r="G94" s="9" t="str">
        <f>IF(AND(COUNTIF([1]Customers!$A:$A,C94)&gt;0,COUNTIF([1]Products!$A:$A,D94)&gt;0),"Valid","Invalid")</f>
        <v>Valid</v>
      </c>
    </row>
    <row r="95" spans="1:7" x14ac:dyDescent="0.25">
      <c r="A95" t="s">
        <v>50</v>
      </c>
      <c r="B95" t="s">
        <v>171</v>
      </c>
      <c r="C95" t="s">
        <v>299</v>
      </c>
      <c r="D95" t="s">
        <v>71</v>
      </c>
      <c r="E95" s="9">
        <v>3</v>
      </c>
      <c r="F95" s="9" t="str">
        <f>_xll.XLOOKUP(C95,[1]Customers!$A:$A,[1]Customers!$D:$D,"-")</f>
        <v>Gold</v>
      </c>
      <c r="G95" s="9" t="str">
        <f>IF(AND(COUNTIF([1]Customers!$A:$A,C95)&gt;0,COUNTIF([1]Products!$A:$A,D95)&gt;0),"Valid","Invalid")</f>
        <v>Valid</v>
      </c>
    </row>
    <row r="96" spans="1:7" x14ac:dyDescent="0.25">
      <c r="A96" t="s">
        <v>44</v>
      </c>
      <c r="B96" t="s">
        <v>172</v>
      </c>
      <c r="C96" t="s">
        <v>301</v>
      </c>
      <c r="D96" t="s">
        <v>68</v>
      </c>
      <c r="E96" s="9">
        <v>2</v>
      </c>
      <c r="F96" s="9" t="str">
        <f>_xll.XLOOKUP(C96,[1]Customers!$A:$A,[1]Customers!$D:$D,"-")</f>
        <v>Silver</v>
      </c>
      <c r="G96" s="9" t="str">
        <f>IF(AND(COUNTIF([1]Customers!$A:$A,C96)&gt;0,COUNTIF([1]Products!$A:$A,D96)&gt;0),"Valid","Invalid")</f>
        <v>Valid</v>
      </c>
    </row>
    <row r="97" spans="1:7" x14ac:dyDescent="0.25">
      <c r="A97" t="s">
        <v>32</v>
      </c>
      <c r="B97" t="s">
        <v>173</v>
      </c>
      <c r="C97" t="s">
        <v>301</v>
      </c>
      <c r="D97" t="s">
        <v>68</v>
      </c>
      <c r="E97" s="9">
        <v>4</v>
      </c>
      <c r="F97" s="9" t="str">
        <f>_xll.XLOOKUP(C97,[1]Customers!$A:$A,[1]Customers!$D:$D,"-")</f>
        <v>Silver</v>
      </c>
      <c r="G97" s="9" t="str">
        <f>IF(AND(COUNTIF([1]Customers!$A:$A,C97)&gt;0,COUNTIF([1]Products!$A:$A,D97)&gt;0),"Valid","Invalid")</f>
        <v>Valid</v>
      </c>
    </row>
    <row r="98" spans="1:7" x14ac:dyDescent="0.25">
      <c r="A98" t="s">
        <v>13</v>
      </c>
      <c r="B98" t="s">
        <v>174</v>
      </c>
      <c r="C98" t="s">
        <v>303</v>
      </c>
      <c r="D98" t="s">
        <v>73</v>
      </c>
      <c r="E98" s="9">
        <v>3</v>
      </c>
      <c r="F98" s="9" t="str">
        <f>_xll.XLOOKUP(C98,[1]Customers!$A:$A,[1]Customers!$D:$D,"-")</f>
        <v>-</v>
      </c>
      <c r="G98" s="9" t="str">
        <f>IF(AND(COUNTIF([1]Customers!$A:$A,C98)&gt;0,COUNTIF([1]Products!$A:$A,D98)&gt;0),"Valid","Invalid")</f>
        <v>Invalid</v>
      </c>
    </row>
    <row r="99" spans="1:7" x14ac:dyDescent="0.25">
      <c r="A99" t="s">
        <v>61</v>
      </c>
      <c r="B99" t="s">
        <v>175</v>
      </c>
      <c r="C99" t="s">
        <v>301</v>
      </c>
      <c r="D99" t="s">
        <v>72</v>
      </c>
      <c r="E99" s="9">
        <v>1</v>
      </c>
      <c r="F99" s="9" t="str">
        <f>_xll.XLOOKUP(C99,[1]Customers!$A:$A,[1]Customers!$D:$D,"-")</f>
        <v>Silver</v>
      </c>
      <c r="G99" s="9" t="str">
        <f>IF(AND(COUNTIF([1]Customers!$A:$A,C99)&gt;0,COUNTIF([1]Products!$A:$A,D99)&gt;0),"Valid","Invalid")</f>
        <v>Valid</v>
      </c>
    </row>
    <row r="100" spans="1:7" x14ac:dyDescent="0.25">
      <c r="A100" t="s">
        <v>62</v>
      </c>
      <c r="B100" t="s">
        <v>176</v>
      </c>
      <c r="C100" t="s">
        <v>303</v>
      </c>
      <c r="D100" t="s">
        <v>73</v>
      </c>
      <c r="E100" s="9">
        <v>2</v>
      </c>
      <c r="F100" s="9" t="str">
        <f>_xll.XLOOKUP(C100,[1]Customers!$A:$A,[1]Customers!$D:$D,"-")</f>
        <v>-</v>
      </c>
      <c r="G100" s="9" t="str">
        <f>IF(AND(COUNTIF([1]Customers!$A:$A,C100)&gt;0,COUNTIF([1]Products!$A:$A,D100)&gt;0),"Valid","Invalid")</f>
        <v>Invalid</v>
      </c>
    </row>
    <row r="101" spans="1:7" x14ac:dyDescent="0.25">
      <c r="A101" t="s">
        <v>57</v>
      </c>
      <c r="B101" t="s">
        <v>177</v>
      </c>
      <c r="C101" t="s">
        <v>301</v>
      </c>
      <c r="D101" t="s">
        <v>71</v>
      </c>
      <c r="E101" s="9">
        <v>2</v>
      </c>
      <c r="F101" s="9" t="str">
        <f>_xll.XLOOKUP(C101,[1]Customers!$A:$A,[1]Customers!$D:$D,"-")</f>
        <v>Silver</v>
      </c>
      <c r="G101" s="9" t="str">
        <f>IF(AND(COUNTIF([1]Customers!$A:$A,C101)&gt;0,COUNTIF([1]Products!$A:$A,D101)&gt;0),"Valid","Invalid")</f>
        <v>Valid</v>
      </c>
    </row>
    <row r="102" spans="1:7" x14ac:dyDescent="0.25">
      <c r="A102" t="s">
        <v>44</v>
      </c>
      <c r="B102" t="s">
        <v>178</v>
      </c>
      <c r="C102" t="s">
        <v>298</v>
      </c>
      <c r="D102" t="s">
        <v>70</v>
      </c>
      <c r="E102" s="9">
        <v>4</v>
      </c>
      <c r="F102" s="9" t="str">
        <f>_xll.XLOOKUP(C102,[1]Customers!$A:$A,[1]Customers!$D:$D,"-")</f>
        <v>Silver</v>
      </c>
      <c r="G102" s="9" t="str">
        <f>IF(AND(COUNTIF([1]Customers!$A:$A,C102)&gt;0,COUNTIF([1]Products!$A:$A,D102)&gt;0),"Valid","Invalid")</f>
        <v>Valid</v>
      </c>
    </row>
    <row r="103" spans="1:7" x14ac:dyDescent="0.25">
      <c r="A103" t="s">
        <v>56</v>
      </c>
      <c r="B103" t="s">
        <v>179</v>
      </c>
      <c r="C103" t="s">
        <v>301</v>
      </c>
      <c r="D103" t="s">
        <v>72</v>
      </c>
      <c r="E103" s="9">
        <v>1</v>
      </c>
      <c r="F103" s="9" t="str">
        <f>_xll.XLOOKUP(C103,[1]Customers!$A:$A,[1]Customers!$D:$D,"-")</f>
        <v>Silver</v>
      </c>
      <c r="G103" s="9" t="str">
        <f>IF(AND(COUNTIF([1]Customers!$A:$A,C103)&gt;0,COUNTIF([1]Products!$A:$A,D103)&gt;0),"Valid","Invalid")</f>
        <v>Valid</v>
      </c>
    </row>
    <row r="104" spans="1:7" x14ac:dyDescent="0.25">
      <c r="A104" t="s">
        <v>57</v>
      </c>
      <c r="B104" t="s">
        <v>180</v>
      </c>
      <c r="C104" t="s">
        <v>302</v>
      </c>
      <c r="D104" t="s">
        <v>73</v>
      </c>
      <c r="E104" s="9">
        <v>3</v>
      </c>
      <c r="F104" s="9" t="str">
        <f>_xll.XLOOKUP(C104,[1]Customers!$A:$A,[1]Customers!$D:$D,"-")</f>
        <v>Gold</v>
      </c>
      <c r="G104" s="9" t="str">
        <f>IF(AND(COUNTIF([1]Customers!$A:$A,C104)&gt;0,COUNTIF([1]Products!$A:$A,D104)&gt;0),"Valid","Invalid")</f>
        <v>Valid</v>
      </c>
    </row>
    <row r="105" spans="1:7" x14ac:dyDescent="0.25">
      <c r="A105" t="s">
        <v>15</v>
      </c>
      <c r="B105" t="s">
        <v>181</v>
      </c>
      <c r="C105" t="s">
        <v>300</v>
      </c>
      <c r="D105" t="s">
        <v>68</v>
      </c>
      <c r="E105" s="9">
        <v>2</v>
      </c>
      <c r="F105" s="9" t="str">
        <f>_xll.XLOOKUP(C105,[1]Customers!$A:$A,[1]Customers!$D:$D,"-")</f>
        <v>Bronze</v>
      </c>
      <c r="G105" s="9" t="str">
        <f>IF(AND(COUNTIF([1]Customers!$A:$A,C105)&gt;0,COUNTIF([1]Products!$A:$A,D105)&gt;0),"Valid","Invalid")</f>
        <v>Valid</v>
      </c>
    </row>
    <row r="106" spans="1:7" x14ac:dyDescent="0.25">
      <c r="A106" t="s">
        <v>53</v>
      </c>
      <c r="B106" t="s">
        <v>182</v>
      </c>
      <c r="C106" t="s">
        <v>302</v>
      </c>
      <c r="D106" t="s">
        <v>68</v>
      </c>
      <c r="E106" s="9">
        <v>4</v>
      </c>
      <c r="F106" s="9" t="str">
        <f>_xll.XLOOKUP(C106,[1]Customers!$A:$A,[1]Customers!$D:$D,"-")</f>
        <v>Gold</v>
      </c>
      <c r="G106" s="9" t="str">
        <f>IF(AND(COUNTIF([1]Customers!$A:$A,C106)&gt;0,COUNTIF([1]Products!$A:$A,D106)&gt;0),"Valid","Invalid")</f>
        <v>Valid</v>
      </c>
    </row>
    <row r="107" spans="1:7" x14ac:dyDescent="0.25">
      <c r="A107" t="s">
        <v>43</v>
      </c>
      <c r="B107" t="s">
        <v>183</v>
      </c>
      <c r="C107" t="s">
        <v>299</v>
      </c>
      <c r="D107" t="s">
        <v>70</v>
      </c>
      <c r="E107" s="9">
        <v>1</v>
      </c>
      <c r="F107" s="9" t="str">
        <f>_xll.XLOOKUP(C107,[1]Customers!$A:$A,[1]Customers!$D:$D,"-")</f>
        <v>Gold</v>
      </c>
      <c r="G107" s="9" t="str">
        <f>IF(AND(COUNTIF([1]Customers!$A:$A,C107)&gt;0,COUNTIF([1]Products!$A:$A,D107)&gt;0),"Valid","Invalid")</f>
        <v>Valid</v>
      </c>
    </row>
    <row r="108" spans="1:7" x14ac:dyDescent="0.25">
      <c r="A108" t="s">
        <v>51</v>
      </c>
      <c r="B108" t="s">
        <v>184</v>
      </c>
      <c r="C108" t="s">
        <v>301</v>
      </c>
      <c r="D108" t="s">
        <v>73</v>
      </c>
      <c r="E108" s="9">
        <v>3</v>
      </c>
      <c r="F108" s="9" t="str">
        <f>_xll.XLOOKUP(C108,[1]Customers!$A:$A,[1]Customers!$D:$D,"-")</f>
        <v>Silver</v>
      </c>
      <c r="G108" s="9" t="str">
        <f>IF(AND(COUNTIF([1]Customers!$A:$A,C108)&gt;0,COUNTIF([1]Products!$A:$A,D108)&gt;0),"Valid","Invalid")</f>
        <v>Valid</v>
      </c>
    </row>
    <row r="109" spans="1:7" x14ac:dyDescent="0.25">
      <c r="A109" t="s">
        <v>23</v>
      </c>
      <c r="B109" t="s">
        <v>185</v>
      </c>
      <c r="C109" t="s">
        <v>298</v>
      </c>
      <c r="D109" t="s">
        <v>69</v>
      </c>
      <c r="E109" s="9">
        <v>3</v>
      </c>
      <c r="F109" s="9" t="str">
        <f>_xll.XLOOKUP(C109,[1]Customers!$A:$A,[1]Customers!$D:$D,"-")</f>
        <v>Silver</v>
      </c>
      <c r="G109" s="9" t="str">
        <f>IF(AND(COUNTIF([1]Customers!$A:$A,C109)&gt;0,COUNTIF([1]Products!$A:$A,D109)&gt;0),"Valid","Invalid")</f>
        <v>Valid</v>
      </c>
    </row>
    <row r="110" spans="1:7" x14ac:dyDescent="0.25">
      <c r="A110" t="s">
        <v>28</v>
      </c>
      <c r="B110" t="s">
        <v>186</v>
      </c>
      <c r="C110" t="s">
        <v>300</v>
      </c>
      <c r="D110" t="s">
        <v>304</v>
      </c>
      <c r="E110" s="9">
        <v>2</v>
      </c>
      <c r="F110" s="9" t="str">
        <f>_xll.XLOOKUP(C110,[1]Customers!$A:$A,[1]Customers!$D:$D,"-")</f>
        <v>Bronze</v>
      </c>
      <c r="G110" s="9" t="str">
        <f>IF(AND(COUNTIF([1]Customers!$A:$A,C110)&gt;0,COUNTIF([1]Products!$A:$A,D110)&gt;0),"Valid","Invalid")</f>
        <v>Invalid</v>
      </c>
    </row>
    <row r="111" spans="1:7" x14ac:dyDescent="0.25">
      <c r="A111" t="s">
        <v>19</v>
      </c>
      <c r="B111" t="s">
        <v>187</v>
      </c>
      <c r="C111" t="s">
        <v>300</v>
      </c>
      <c r="D111" t="s">
        <v>72</v>
      </c>
      <c r="E111" s="9">
        <v>3</v>
      </c>
      <c r="F111" s="9" t="str">
        <f>_xll.XLOOKUP(C111,[1]Customers!$A:$A,[1]Customers!$D:$D,"-")</f>
        <v>Bronze</v>
      </c>
      <c r="G111" s="9" t="str">
        <f>IF(AND(COUNTIF([1]Customers!$A:$A,C111)&gt;0,COUNTIF([1]Products!$A:$A,D111)&gt;0),"Valid","Invalid")</f>
        <v>Valid</v>
      </c>
    </row>
    <row r="112" spans="1:7" x14ac:dyDescent="0.25">
      <c r="A112" t="s">
        <v>7</v>
      </c>
      <c r="B112" t="s">
        <v>188</v>
      </c>
      <c r="C112" t="s">
        <v>302</v>
      </c>
      <c r="D112" t="s">
        <v>69</v>
      </c>
      <c r="E112" s="9">
        <v>1</v>
      </c>
      <c r="F112" s="9" t="str">
        <f>_xll.XLOOKUP(C112,[1]Customers!$A:$A,[1]Customers!$D:$D,"-")</f>
        <v>Gold</v>
      </c>
      <c r="G112" s="9" t="str">
        <f>IF(AND(COUNTIF([1]Customers!$A:$A,C112)&gt;0,COUNTIF([1]Products!$A:$A,D112)&gt;0),"Valid","Invalid")</f>
        <v>Valid</v>
      </c>
    </row>
    <row r="113" spans="1:7" x14ac:dyDescent="0.25">
      <c r="A113" t="s">
        <v>15</v>
      </c>
      <c r="B113" t="s">
        <v>189</v>
      </c>
      <c r="C113" t="s">
        <v>302</v>
      </c>
      <c r="D113" t="s">
        <v>68</v>
      </c>
      <c r="E113" s="9">
        <v>3</v>
      </c>
      <c r="F113" s="9" t="str">
        <f>_xll.XLOOKUP(C113,[1]Customers!$A:$A,[1]Customers!$D:$D,"-")</f>
        <v>Gold</v>
      </c>
      <c r="G113" s="9" t="str">
        <f>IF(AND(COUNTIF([1]Customers!$A:$A,C113)&gt;0,COUNTIF([1]Products!$A:$A,D113)&gt;0),"Valid","Invalid")</f>
        <v>Valid</v>
      </c>
    </row>
    <row r="114" spans="1:7" x14ac:dyDescent="0.25">
      <c r="A114" t="s">
        <v>44</v>
      </c>
      <c r="B114" t="s">
        <v>190</v>
      </c>
      <c r="C114" t="s">
        <v>298</v>
      </c>
      <c r="D114" t="s">
        <v>72</v>
      </c>
      <c r="E114" s="9">
        <v>4</v>
      </c>
      <c r="F114" s="9" t="str">
        <f>_xll.XLOOKUP(C114,[1]Customers!$A:$A,[1]Customers!$D:$D,"-")</f>
        <v>Silver</v>
      </c>
      <c r="G114" s="9" t="str">
        <f>IF(AND(COUNTIF([1]Customers!$A:$A,C114)&gt;0,COUNTIF([1]Products!$A:$A,D114)&gt;0),"Valid","Invalid")</f>
        <v>Valid</v>
      </c>
    </row>
    <row r="115" spans="1:7" x14ac:dyDescent="0.25">
      <c r="A115" t="s">
        <v>40</v>
      </c>
      <c r="B115" t="s">
        <v>191</v>
      </c>
      <c r="C115" t="s">
        <v>298</v>
      </c>
      <c r="D115" t="s">
        <v>72</v>
      </c>
      <c r="E115" s="9">
        <v>4</v>
      </c>
      <c r="F115" s="9" t="str">
        <f>_xll.XLOOKUP(C115,[1]Customers!$A:$A,[1]Customers!$D:$D,"-")</f>
        <v>Silver</v>
      </c>
      <c r="G115" s="9" t="str">
        <f>IF(AND(COUNTIF([1]Customers!$A:$A,C115)&gt;0,COUNTIF([1]Products!$A:$A,D115)&gt;0),"Valid","Invalid")</f>
        <v>Valid</v>
      </c>
    </row>
    <row r="116" spans="1:7" x14ac:dyDescent="0.25">
      <c r="A116" t="s">
        <v>41</v>
      </c>
      <c r="B116" t="s">
        <v>192</v>
      </c>
      <c r="C116" t="s">
        <v>301</v>
      </c>
      <c r="D116" t="s">
        <v>72</v>
      </c>
      <c r="E116" s="9">
        <v>1</v>
      </c>
      <c r="F116" s="9" t="str">
        <f>_xll.XLOOKUP(C116,[1]Customers!$A:$A,[1]Customers!$D:$D,"-")</f>
        <v>Silver</v>
      </c>
      <c r="G116" s="9" t="str">
        <f>IF(AND(COUNTIF([1]Customers!$A:$A,C116)&gt;0,COUNTIF([1]Products!$A:$A,D116)&gt;0),"Valid","Invalid")</f>
        <v>Valid</v>
      </c>
    </row>
    <row r="117" spans="1:7" x14ac:dyDescent="0.25">
      <c r="A117" t="s">
        <v>22</v>
      </c>
      <c r="B117" t="s">
        <v>193</v>
      </c>
      <c r="C117" t="s">
        <v>299</v>
      </c>
      <c r="D117" t="s">
        <v>69</v>
      </c>
      <c r="E117" s="9">
        <v>2</v>
      </c>
      <c r="F117" s="9" t="str">
        <f>_xll.XLOOKUP(C117,[1]Customers!$A:$A,[1]Customers!$D:$D,"-")</f>
        <v>Gold</v>
      </c>
      <c r="G117" s="9" t="str">
        <f>IF(AND(COUNTIF([1]Customers!$A:$A,C117)&gt;0,COUNTIF([1]Products!$A:$A,D117)&gt;0),"Valid","Invalid")</f>
        <v>Valid</v>
      </c>
    </row>
    <row r="118" spans="1:7" x14ac:dyDescent="0.25">
      <c r="A118" t="s">
        <v>36</v>
      </c>
      <c r="B118" t="s">
        <v>194</v>
      </c>
      <c r="C118" t="s">
        <v>298</v>
      </c>
      <c r="D118" t="s">
        <v>73</v>
      </c>
      <c r="E118" s="9">
        <v>4</v>
      </c>
      <c r="F118" s="9" t="str">
        <f>_xll.XLOOKUP(C118,[1]Customers!$A:$A,[1]Customers!$D:$D,"-")</f>
        <v>Silver</v>
      </c>
      <c r="G118" s="9" t="str">
        <f>IF(AND(COUNTIF([1]Customers!$A:$A,C118)&gt;0,COUNTIF([1]Products!$A:$A,D118)&gt;0),"Valid","Invalid")</f>
        <v>Valid</v>
      </c>
    </row>
    <row r="119" spans="1:7" x14ac:dyDescent="0.25">
      <c r="A119" t="s">
        <v>20</v>
      </c>
      <c r="B119" t="s">
        <v>195</v>
      </c>
      <c r="C119" t="s">
        <v>300</v>
      </c>
      <c r="D119" t="s">
        <v>68</v>
      </c>
      <c r="E119" s="9">
        <v>2</v>
      </c>
      <c r="F119" s="9" t="str">
        <f>_xll.XLOOKUP(C119,[1]Customers!$A:$A,[1]Customers!$D:$D,"-")</f>
        <v>Bronze</v>
      </c>
      <c r="G119" s="9" t="str">
        <f>IF(AND(COUNTIF([1]Customers!$A:$A,C119)&gt;0,COUNTIF([1]Products!$A:$A,D119)&gt;0),"Valid","Invalid")</f>
        <v>Valid</v>
      </c>
    </row>
    <row r="120" spans="1:7" x14ac:dyDescent="0.25">
      <c r="A120" t="s">
        <v>6</v>
      </c>
      <c r="B120" t="s">
        <v>196</v>
      </c>
      <c r="C120" t="s">
        <v>301</v>
      </c>
      <c r="D120" t="s">
        <v>69</v>
      </c>
      <c r="E120" s="9">
        <v>3</v>
      </c>
      <c r="F120" s="9" t="str">
        <f>_xll.XLOOKUP(C120,[1]Customers!$A:$A,[1]Customers!$D:$D,"-")</f>
        <v>Silver</v>
      </c>
      <c r="G120" s="9" t="str">
        <f>IF(AND(COUNTIF([1]Customers!$A:$A,C120)&gt;0,COUNTIF([1]Products!$A:$A,D120)&gt;0),"Valid","Invalid")</f>
        <v>Valid</v>
      </c>
    </row>
    <row r="121" spans="1:7" x14ac:dyDescent="0.25">
      <c r="A121" t="s">
        <v>55</v>
      </c>
      <c r="B121" t="s">
        <v>197</v>
      </c>
      <c r="C121" t="s">
        <v>301</v>
      </c>
      <c r="D121" t="s">
        <v>72</v>
      </c>
      <c r="E121" s="9">
        <v>1</v>
      </c>
      <c r="F121" s="9" t="str">
        <f>_xll.XLOOKUP(C121,[1]Customers!$A:$A,[1]Customers!$D:$D,"-")</f>
        <v>Silver</v>
      </c>
      <c r="G121" s="9" t="str">
        <f>IF(AND(COUNTIF([1]Customers!$A:$A,C121)&gt;0,COUNTIF([1]Products!$A:$A,D121)&gt;0),"Valid","Invalid")</f>
        <v>Valid</v>
      </c>
    </row>
    <row r="122" spans="1:7" x14ac:dyDescent="0.25">
      <c r="A122" t="s">
        <v>33</v>
      </c>
      <c r="B122" t="s">
        <v>198</v>
      </c>
      <c r="C122" t="s">
        <v>298</v>
      </c>
      <c r="D122" t="s">
        <v>72</v>
      </c>
      <c r="E122" s="9">
        <v>1</v>
      </c>
      <c r="F122" s="9" t="str">
        <f>_xll.XLOOKUP(C122,[1]Customers!$A:$A,[1]Customers!$D:$D,"-")</f>
        <v>Silver</v>
      </c>
      <c r="G122" s="9" t="str">
        <f>IF(AND(COUNTIF([1]Customers!$A:$A,C122)&gt;0,COUNTIF([1]Products!$A:$A,D122)&gt;0),"Valid","Invalid")</f>
        <v>Valid</v>
      </c>
    </row>
    <row r="123" spans="1:7" x14ac:dyDescent="0.25">
      <c r="A123" t="s">
        <v>46</v>
      </c>
      <c r="B123" t="s">
        <v>199</v>
      </c>
      <c r="C123" t="s">
        <v>302</v>
      </c>
      <c r="D123" t="s">
        <v>69</v>
      </c>
      <c r="E123" s="9">
        <v>3</v>
      </c>
      <c r="F123" s="9" t="str">
        <f>_xll.XLOOKUP(C123,[1]Customers!$A:$A,[1]Customers!$D:$D,"-")</f>
        <v>Gold</v>
      </c>
      <c r="G123" s="9" t="str">
        <f>IF(AND(COUNTIF([1]Customers!$A:$A,C123)&gt;0,COUNTIF([1]Products!$A:$A,D123)&gt;0),"Valid","Invalid")</f>
        <v>Valid</v>
      </c>
    </row>
    <row r="124" spans="1:7" x14ac:dyDescent="0.25">
      <c r="A124" t="s">
        <v>37</v>
      </c>
      <c r="B124" t="s">
        <v>200</v>
      </c>
      <c r="C124" t="s">
        <v>298</v>
      </c>
      <c r="D124" t="s">
        <v>69</v>
      </c>
      <c r="E124" s="9">
        <v>1</v>
      </c>
      <c r="F124" s="9" t="str">
        <f>_xll.XLOOKUP(C124,[1]Customers!$A:$A,[1]Customers!$D:$D,"-")</f>
        <v>Silver</v>
      </c>
      <c r="G124" s="9" t="str">
        <f>IF(AND(COUNTIF([1]Customers!$A:$A,C124)&gt;0,COUNTIF([1]Products!$A:$A,D124)&gt;0),"Valid","Invalid")</f>
        <v>Valid</v>
      </c>
    </row>
    <row r="125" spans="1:7" x14ac:dyDescent="0.25">
      <c r="A125" t="s">
        <v>31</v>
      </c>
      <c r="B125" t="s">
        <v>201</v>
      </c>
      <c r="C125" t="s">
        <v>302</v>
      </c>
      <c r="D125" t="s">
        <v>72</v>
      </c>
      <c r="E125" s="9">
        <v>2</v>
      </c>
      <c r="F125" s="9" t="str">
        <f>_xll.XLOOKUP(C125,[1]Customers!$A:$A,[1]Customers!$D:$D,"-")</f>
        <v>Gold</v>
      </c>
      <c r="G125" s="9" t="str">
        <f>IF(AND(COUNTIF([1]Customers!$A:$A,C125)&gt;0,COUNTIF([1]Products!$A:$A,D125)&gt;0),"Valid","Invalid")</f>
        <v>Valid</v>
      </c>
    </row>
    <row r="126" spans="1:7" x14ac:dyDescent="0.25">
      <c r="A126" t="s">
        <v>16</v>
      </c>
      <c r="B126" t="s">
        <v>202</v>
      </c>
      <c r="C126" t="s">
        <v>298</v>
      </c>
      <c r="D126" t="s">
        <v>71</v>
      </c>
      <c r="E126" s="9">
        <v>3</v>
      </c>
      <c r="F126" s="9" t="str">
        <f>_xll.XLOOKUP(C126,[1]Customers!$A:$A,[1]Customers!$D:$D,"-")</f>
        <v>Silver</v>
      </c>
      <c r="G126" s="9" t="str">
        <f>IF(AND(COUNTIF([1]Customers!$A:$A,C126)&gt;0,COUNTIF([1]Products!$A:$A,D126)&gt;0),"Valid","Invalid")</f>
        <v>Valid</v>
      </c>
    </row>
    <row r="127" spans="1:7" x14ac:dyDescent="0.25">
      <c r="A127" t="s">
        <v>15</v>
      </c>
      <c r="B127" t="s">
        <v>203</v>
      </c>
      <c r="C127" t="s">
        <v>300</v>
      </c>
      <c r="D127" t="s">
        <v>70</v>
      </c>
      <c r="E127" s="9">
        <v>3</v>
      </c>
      <c r="F127" s="9" t="str">
        <f>_xll.XLOOKUP(C127,[1]Customers!$A:$A,[1]Customers!$D:$D,"-")</f>
        <v>Bronze</v>
      </c>
      <c r="G127" s="9" t="str">
        <f>IF(AND(COUNTIF([1]Customers!$A:$A,C127)&gt;0,COUNTIF([1]Products!$A:$A,D127)&gt;0),"Valid","Invalid")</f>
        <v>Valid</v>
      </c>
    </row>
    <row r="128" spans="1:7" x14ac:dyDescent="0.25">
      <c r="A128" t="s">
        <v>13</v>
      </c>
      <c r="B128" t="s">
        <v>204</v>
      </c>
      <c r="C128" t="s">
        <v>300</v>
      </c>
      <c r="D128" t="s">
        <v>73</v>
      </c>
      <c r="E128" s="9">
        <v>1</v>
      </c>
      <c r="F128" s="9" t="str">
        <f>_xll.XLOOKUP(C128,[1]Customers!$A:$A,[1]Customers!$D:$D,"-")</f>
        <v>Bronze</v>
      </c>
      <c r="G128" s="9" t="str">
        <f>IF(AND(COUNTIF([1]Customers!$A:$A,C128)&gt;0,COUNTIF([1]Products!$A:$A,D128)&gt;0),"Valid","Invalid")</f>
        <v>Valid</v>
      </c>
    </row>
    <row r="129" spans="1:7" x14ac:dyDescent="0.25">
      <c r="A129" t="s">
        <v>50</v>
      </c>
      <c r="B129" t="s">
        <v>205</v>
      </c>
      <c r="C129" t="s">
        <v>300</v>
      </c>
      <c r="D129" t="s">
        <v>70</v>
      </c>
      <c r="E129" s="9">
        <v>4</v>
      </c>
      <c r="F129" s="9" t="str">
        <f>_xll.XLOOKUP(C129,[1]Customers!$A:$A,[1]Customers!$D:$D,"-")</f>
        <v>Bronze</v>
      </c>
      <c r="G129" s="9" t="str">
        <f>IF(AND(COUNTIF([1]Customers!$A:$A,C129)&gt;0,COUNTIF([1]Products!$A:$A,D129)&gt;0),"Valid","Invalid")</f>
        <v>Valid</v>
      </c>
    </row>
    <row r="130" spans="1:7" x14ac:dyDescent="0.25">
      <c r="A130" t="s">
        <v>42</v>
      </c>
      <c r="B130" t="s">
        <v>206</v>
      </c>
      <c r="C130" t="s">
        <v>300</v>
      </c>
      <c r="D130" t="s">
        <v>70</v>
      </c>
      <c r="E130" s="9">
        <v>1</v>
      </c>
      <c r="F130" s="9" t="str">
        <f>_xll.XLOOKUP(C130,[1]Customers!$A:$A,[1]Customers!$D:$D,"-")</f>
        <v>Bronze</v>
      </c>
      <c r="G130" s="9" t="str">
        <f>IF(AND(COUNTIF([1]Customers!$A:$A,C130)&gt;0,COUNTIF([1]Products!$A:$A,D130)&gt;0),"Valid","Invalid")</f>
        <v>Valid</v>
      </c>
    </row>
    <row r="131" spans="1:7" x14ac:dyDescent="0.25">
      <c r="A131" t="s">
        <v>58</v>
      </c>
      <c r="B131" t="s">
        <v>207</v>
      </c>
      <c r="C131" t="s">
        <v>300</v>
      </c>
      <c r="D131" t="s">
        <v>72</v>
      </c>
      <c r="E131" s="9">
        <v>4</v>
      </c>
      <c r="F131" s="9" t="str">
        <f>_xll.XLOOKUP(C131,[1]Customers!$A:$A,[1]Customers!$D:$D,"-")</f>
        <v>Bronze</v>
      </c>
      <c r="G131" s="9" t="str">
        <f>IF(AND(COUNTIF([1]Customers!$A:$A,C131)&gt;0,COUNTIF([1]Products!$A:$A,D131)&gt;0),"Valid","Invalid")</f>
        <v>Valid</v>
      </c>
    </row>
    <row r="132" spans="1:7" x14ac:dyDescent="0.25">
      <c r="A132" t="s">
        <v>14</v>
      </c>
      <c r="B132" t="s">
        <v>208</v>
      </c>
      <c r="C132" t="s">
        <v>302</v>
      </c>
      <c r="D132" t="s">
        <v>73</v>
      </c>
      <c r="E132" s="9">
        <v>4</v>
      </c>
      <c r="F132" s="9" t="str">
        <f>_xll.XLOOKUP(C132,[1]Customers!$A:$A,[1]Customers!$D:$D,"-")</f>
        <v>Gold</v>
      </c>
      <c r="G132" s="9" t="str">
        <f>IF(AND(COUNTIF([1]Customers!$A:$A,C132)&gt;0,COUNTIF([1]Products!$A:$A,D132)&gt;0),"Valid","Invalid")</f>
        <v>Valid</v>
      </c>
    </row>
    <row r="133" spans="1:7" x14ac:dyDescent="0.25">
      <c r="A133" t="s">
        <v>34</v>
      </c>
      <c r="B133" t="s">
        <v>209</v>
      </c>
      <c r="C133" t="s">
        <v>302</v>
      </c>
      <c r="D133" t="s">
        <v>70</v>
      </c>
      <c r="E133" s="9">
        <v>4</v>
      </c>
      <c r="F133" s="9" t="str">
        <f>_xll.XLOOKUP(C133,[1]Customers!$A:$A,[1]Customers!$D:$D,"-")</f>
        <v>Gold</v>
      </c>
      <c r="G133" s="9" t="str">
        <f>IF(AND(COUNTIF([1]Customers!$A:$A,C133)&gt;0,COUNTIF([1]Products!$A:$A,D133)&gt;0),"Valid","Invalid")</f>
        <v>Valid</v>
      </c>
    </row>
    <row r="134" spans="1:7" x14ac:dyDescent="0.25">
      <c r="A134" t="s">
        <v>59</v>
      </c>
      <c r="B134" t="s">
        <v>210</v>
      </c>
      <c r="C134" t="s">
        <v>302</v>
      </c>
      <c r="D134" t="s">
        <v>70</v>
      </c>
      <c r="E134" s="9">
        <v>2</v>
      </c>
      <c r="F134" s="9" t="str">
        <f>_xll.XLOOKUP(C134,[1]Customers!$A:$A,[1]Customers!$D:$D,"-")</f>
        <v>Gold</v>
      </c>
      <c r="G134" s="9" t="str">
        <f>IF(AND(COUNTIF([1]Customers!$A:$A,C134)&gt;0,COUNTIF([1]Products!$A:$A,D134)&gt;0),"Valid","Invalid")</f>
        <v>Valid</v>
      </c>
    </row>
    <row r="135" spans="1:7" x14ac:dyDescent="0.25">
      <c r="A135" t="s">
        <v>61</v>
      </c>
      <c r="B135" t="s">
        <v>211</v>
      </c>
      <c r="C135" t="s">
        <v>302</v>
      </c>
      <c r="D135" t="s">
        <v>68</v>
      </c>
      <c r="E135" s="9">
        <v>4</v>
      </c>
      <c r="F135" s="9" t="str">
        <f>_xll.XLOOKUP(C135,[1]Customers!$A:$A,[1]Customers!$D:$D,"-")</f>
        <v>Gold</v>
      </c>
      <c r="G135" s="9" t="str">
        <f>IF(AND(COUNTIF([1]Customers!$A:$A,C135)&gt;0,COUNTIF([1]Products!$A:$A,D135)&gt;0),"Valid","Invalid")</f>
        <v>Valid</v>
      </c>
    </row>
    <row r="136" spans="1:7" x14ac:dyDescent="0.25">
      <c r="A136" t="s">
        <v>18</v>
      </c>
      <c r="B136" t="s">
        <v>212</v>
      </c>
      <c r="C136" t="s">
        <v>299</v>
      </c>
      <c r="D136" t="s">
        <v>68</v>
      </c>
      <c r="E136" s="9">
        <v>4</v>
      </c>
      <c r="F136" s="9" t="str">
        <f>_xll.XLOOKUP(C136,[1]Customers!$A:$A,[1]Customers!$D:$D,"-")</f>
        <v>Gold</v>
      </c>
      <c r="G136" s="9" t="str">
        <f>IF(AND(COUNTIF([1]Customers!$A:$A,C136)&gt;0,COUNTIF([1]Products!$A:$A,D136)&gt;0),"Valid","Invalid")</f>
        <v>Valid</v>
      </c>
    </row>
    <row r="137" spans="1:7" x14ac:dyDescent="0.25">
      <c r="A137" t="s">
        <v>7</v>
      </c>
      <c r="B137" t="s">
        <v>213</v>
      </c>
      <c r="C137" t="s">
        <v>300</v>
      </c>
      <c r="D137" t="s">
        <v>71</v>
      </c>
      <c r="E137" s="9">
        <v>3</v>
      </c>
      <c r="F137" s="9" t="str">
        <f>_xll.XLOOKUP(C137,[1]Customers!$A:$A,[1]Customers!$D:$D,"-")</f>
        <v>Bronze</v>
      </c>
      <c r="G137" s="9" t="str">
        <f>IF(AND(COUNTIF([1]Customers!$A:$A,C137)&gt;0,COUNTIF([1]Products!$A:$A,D137)&gt;0),"Valid","Invalid")</f>
        <v>Valid</v>
      </c>
    </row>
    <row r="138" spans="1:7" x14ac:dyDescent="0.25">
      <c r="A138" t="s">
        <v>13</v>
      </c>
      <c r="B138" t="s">
        <v>214</v>
      </c>
      <c r="C138" t="s">
        <v>298</v>
      </c>
      <c r="D138" t="s">
        <v>73</v>
      </c>
      <c r="E138" s="9">
        <v>3</v>
      </c>
      <c r="F138" s="9" t="str">
        <f>_xll.XLOOKUP(C138,[1]Customers!$A:$A,[1]Customers!$D:$D,"-")</f>
        <v>Silver</v>
      </c>
      <c r="G138" s="9" t="str">
        <f>IF(AND(COUNTIF([1]Customers!$A:$A,C138)&gt;0,COUNTIF([1]Products!$A:$A,D138)&gt;0),"Valid","Invalid")</f>
        <v>Valid</v>
      </c>
    </row>
    <row r="139" spans="1:7" x14ac:dyDescent="0.25">
      <c r="A139" t="s">
        <v>27</v>
      </c>
      <c r="B139" t="s">
        <v>215</v>
      </c>
      <c r="C139" t="s">
        <v>302</v>
      </c>
      <c r="D139" t="s">
        <v>73</v>
      </c>
      <c r="E139" s="9">
        <v>3</v>
      </c>
      <c r="F139" s="9" t="str">
        <f>_xll.XLOOKUP(C139,[1]Customers!$A:$A,[1]Customers!$D:$D,"-")</f>
        <v>Gold</v>
      </c>
      <c r="G139" s="9" t="str">
        <f>IF(AND(COUNTIF([1]Customers!$A:$A,C139)&gt;0,COUNTIF([1]Products!$A:$A,D139)&gt;0),"Valid","Invalid")</f>
        <v>Valid</v>
      </c>
    </row>
    <row r="140" spans="1:7" x14ac:dyDescent="0.25">
      <c r="A140" t="s">
        <v>60</v>
      </c>
      <c r="B140" t="s">
        <v>216</v>
      </c>
      <c r="C140" t="s">
        <v>302</v>
      </c>
      <c r="D140" t="s">
        <v>68</v>
      </c>
      <c r="E140" s="9">
        <v>1</v>
      </c>
      <c r="F140" s="9" t="str">
        <f>_xll.XLOOKUP(C140,[1]Customers!$A:$A,[1]Customers!$D:$D,"-")</f>
        <v>Gold</v>
      </c>
      <c r="G140" s="9" t="str">
        <f>IF(AND(COUNTIF([1]Customers!$A:$A,C140)&gt;0,COUNTIF([1]Products!$A:$A,D140)&gt;0),"Valid","Invalid")</f>
        <v>Valid</v>
      </c>
    </row>
    <row r="141" spans="1:7" x14ac:dyDescent="0.25">
      <c r="A141" t="s">
        <v>13</v>
      </c>
      <c r="B141" t="s">
        <v>217</v>
      </c>
      <c r="C141" t="s">
        <v>301</v>
      </c>
      <c r="D141" t="s">
        <v>73</v>
      </c>
      <c r="E141" s="9">
        <v>2</v>
      </c>
      <c r="F141" s="9" t="str">
        <f>_xll.XLOOKUP(C141,[1]Customers!$A:$A,[1]Customers!$D:$D,"-")</f>
        <v>Silver</v>
      </c>
      <c r="G141" s="9" t="str">
        <f>IF(AND(COUNTIF([1]Customers!$A:$A,C141)&gt;0,COUNTIF([1]Products!$A:$A,D141)&gt;0),"Valid","Invalid")</f>
        <v>Valid</v>
      </c>
    </row>
    <row r="142" spans="1:7" x14ac:dyDescent="0.25">
      <c r="A142" t="s">
        <v>59</v>
      </c>
      <c r="B142" t="s">
        <v>218</v>
      </c>
      <c r="C142" t="s">
        <v>301</v>
      </c>
      <c r="D142" t="s">
        <v>69</v>
      </c>
      <c r="E142" s="9">
        <v>2</v>
      </c>
      <c r="F142" s="9" t="str">
        <f>_xll.XLOOKUP(C142,[1]Customers!$A:$A,[1]Customers!$D:$D,"-")</f>
        <v>Silver</v>
      </c>
      <c r="G142" s="9" t="str">
        <f>IF(AND(COUNTIF([1]Customers!$A:$A,C142)&gt;0,COUNTIF([1]Products!$A:$A,D142)&gt;0),"Valid","Invalid")</f>
        <v>Valid</v>
      </c>
    </row>
    <row r="143" spans="1:7" x14ac:dyDescent="0.25">
      <c r="A143" t="s">
        <v>62</v>
      </c>
      <c r="B143" t="s">
        <v>219</v>
      </c>
      <c r="C143" t="s">
        <v>302</v>
      </c>
      <c r="D143" t="s">
        <v>72</v>
      </c>
      <c r="E143" s="9">
        <v>4</v>
      </c>
      <c r="F143" s="9" t="str">
        <f>_xll.XLOOKUP(C143,[1]Customers!$A:$A,[1]Customers!$D:$D,"-")</f>
        <v>Gold</v>
      </c>
      <c r="G143" s="9" t="str">
        <f>IF(AND(COUNTIF([1]Customers!$A:$A,C143)&gt;0,COUNTIF([1]Products!$A:$A,D143)&gt;0),"Valid","Invalid")</f>
        <v>Valid</v>
      </c>
    </row>
    <row r="144" spans="1:7" x14ac:dyDescent="0.25">
      <c r="A144" t="s">
        <v>37</v>
      </c>
      <c r="B144" t="s">
        <v>220</v>
      </c>
      <c r="C144" t="s">
        <v>300</v>
      </c>
      <c r="D144" t="s">
        <v>68</v>
      </c>
      <c r="E144" s="9">
        <v>3</v>
      </c>
      <c r="F144" s="9" t="str">
        <f>_xll.XLOOKUP(C144,[1]Customers!$A:$A,[1]Customers!$D:$D,"-")</f>
        <v>Bronze</v>
      </c>
      <c r="G144" s="9" t="str">
        <f>IF(AND(COUNTIF([1]Customers!$A:$A,C144)&gt;0,COUNTIF([1]Products!$A:$A,D144)&gt;0),"Valid","Invalid")</f>
        <v>Valid</v>
      </c>
    </row>
    <row r="145" spans="1:7" x14ac:dyDescent="0.25">
      <c r="A145" t="s">
        <v>5</v>
      </c>
      <c r="B145" t="s">
        <v>221</v>
      </c>
      <c r="C145" t="s">
        <v>298</v>
      </c>
      <c r="D145" t="s">
        <v>70</v>
      </c>
      <c r="E145" s="9">
        <v>3</v>
      </c>
      <c r="F145" s="9" t="str">
        <f>_xll.XLOOKUP(C145,[1]Customers!$A:$A,[1]Customers!$D:$D,"-")</f>
        <v>Silver</v>
      </c>
      <c r="G145" s="9" t="str">
        <f>IF(AND(COUNTIF([1]Customers!$A:$A,C145)&gt;0,COUNTIF([1]Products!$A:$A,D145)&gt;0),"Valid","Invalid")</f>
        <v>Valid</v>
      </c>
    </row>
    <row r="146" spans="1:7" x14ac:dyDescent="0.25">
      <c r="A146" t="s">
        <v>28</v>
      </c>
      <c r="B146" t="s">
        <v>222</v>
      </c>
      <c r="C146" t="s">
        <v>299</v>
      </c>
      <c r="D146" t="s">
        <v>70</v>
      </c>
      <c r="E146" s="9">
        <v>4</v>
      </c>
      <c r="F146" s="9" t="str">
        <f>_xll.XLOOKUP(C146,[1]Customers!$A:$A,[1]Customers!$D:$D,"-")</f>
        <v>Gold</v>
      </c>
      <c r="G146" s="9" t="str">
        <f>IF(AND(COUNTIF([1]Customers!$A:$A,C146)&gt;0,COUNTIF([1]Products!$A:$A,D146)&gt;0),"Valid","Invalid")</f>
        <v>Valid</v>
      </c>
    </row>
    <row r="147" spans="1:7" x14ac:dyDescent="0.25">
      <c r="A147" t="s">
        <v>17</v>
      </c>
      <c r="B147" t="s">
        <v>223</v>
      </c>
      <c r="C147" t="s">
        <v>301</v>
      </c>
      <c r="D147" t="s">
        <v>71</v>
      </c>
      <c r="E147" s="9">
        <v>2</v>
      </c>
      <c r="F147" s="9" t="str">
        <f>_xll.XLOOKUP(C147,[1]Customers!$A:$A,[1]Customers!$D:$D,"-")</f>
        <v>Silver</v>
      </c>
      <c r="G147" s="9" t="str">
        <f>IF(AND(COUNTIF([1]Customers!$A:$A,C147)&gt;0,COUNTIF([1]Products!$A:$A,D147)&gt;0),"Valid","Invalid")</f>
        <v>Valid</v>
      </c>
    </row>
    <row r="148" spans="1:7" x14ac:dyDescent="0.25">
      <c r="A148" t="s">
        <v>23</v>
      </c>
      <c r="B148" t="s">
        <v>224</v>
      </c>
      <c r="C148" t="s">
        <v>301</v>
      </c>
      <c r="D148" t="s">
        <v>72</v>
      </c>
      <c r="E148" s="9">
        <v>2</v>
      </c>
      <c r="F148" s="9" t="str">
        <f>_xll.XLOOKUP(C148,[1]Customers!$A:$A,[1]Customers!$D:$D,"-")</f>
        <v>Silver</v>
      </c>
      <c r="G148" s="9" t="str">
        <f>IF(AND(COUNTIF([1]Customers!$A:$A,C148)&gt;0,COUNTIF([1]Products!$A:$A,D148)&gt;0),"Valid","Invalid")</f>
        <v>Valid</v>
      </c>
    </row>
    <row r="149" spans="1:7" x14ac:dyDescent="0.25">
      <c r="A149" t="s">
        <v>58</v>
      </c>
      <c r="B149" t="s">
        <v>225</v>
      </c>
      <c r="C149" t="s">
        <v>299</v>
      </c>
      <c r="D149" t="s">
        <v>69</v>
      </c>
      <c r="E149" s="9">
        <v>2</v>
      </c>
      <c r="F149" s="9" t="str">
        <f>_xll.XLOOKUP(C149,[1]Customers!$A:$A,[1]Customers!$D:$D,"-")</f>
        <v>Gold</v>
      </c>
      <c r="G149" s="9" t="str">
        <f>IF(AND(COUNTIF([1]Customers!$A:$A,C149)&gt;0,COUNTIF([1]Products!$A:$A,D149)&gt;0),"Valid","Invalid")</f>
        <v>Valid</v>
      </c>
    </row>
    <row r="150" spans="1:7" x14ac:dyDescent="0.25">
      <c r="A150" t="s">
        <v>27</v>
      </c>
      <c r="B150" t="s">
        <v>226</v>
      </c>
      <c r="C150" t="s">
        <v>298</v>
      </c>
      <c r="D150" t="s">
        <v>70</v>
      </c>
      <c r="E150" s="9">
        <v>1</v>
      </c>
      <c r="F150" s="9" t="str">
        <f>_xll.XLOOKUP(C150,[1]Customers!$A:$A,[1]Customers!$D:$D,"-")</f>
        <v>Silver</v>
      </c>
      <c r="G150" s="9" t="str">
        <f>IF(AND(COUNTIF([1]Customers!$A:$A,C150)&gt;0,COUNTIF([1]Products!$A:$A,D150)&gt;0),"Valid","Invalid")</f>
        <v>Valid</v>
      </c>
    </row>
    <row r="151" spans="1:7" x14ac:dyDescent="0.25">
      <c r="A151" t="s">
        <v>28</v>
      </c>
      <c r="B151" t="s">
        <v>227</v>
      </c>
      <c r="C151" t="s">
        <v>299</v>
      </c>
      <c r="D151" t="s">
        <v>71</v>
      </c>
      <c r="E151" s="9">
        <v>4</v>
      </c>
      <c r="F151" s="9" t="str">
        <f>_xll.XLOOKUP(C151,[1]Customers!$A:$A,[1]Customers!$D:$D,"-")</f>
        <v>Gold</v>
      </c>
      <c r="G151" s="9" t="str">
        <f>IF(AND(COUNTIF([1]Customers!$A:$A,C151)&gt;0,COUNTIF([1]Products!$A:$A,D151)&gt;0),"Valid","Invalid")</f>
        <v>Valid</v>
      </c>
    </row>
    <row r="152" spans="1:7" x14ac:dyDescent="0.25">
      <c r="A152" t="s">
        <v>63</v>
      </c>
      <c r="B152" t="s">
        <v>228</v>
      </c>
      <c r="C152" t="s">
        <v>301</v>
      </c>
      <c r="D152" t="s">
        <v>69</v>
      </c>
      <c r="E152" s="9">
        <v>1</v>
      </c>
      <c r="F152" s="9" t="str">
        <f>_xll.XLOOKUP(C152,[1]Customers!$A:$A,[1]Customers!$D:$D,"-")</f>
        <v>Silver</v>
      </c>
      <c r="G152" s="9" t="str">
        <f>IF(AND(COUNTIF([1]Customers!$A:$A,C152)&gt;0,COUNTIF([1]Products!$A:$A,D152)&gt;0),"Valid","Invalid")</f>
        <v>Valid</v>
      </c>
    </row>
    <row r="153" spans="1:7" x14ac:dyDescent="0.25">
      <c r="A153" t="s">
        <v>29</v>
      </c>
      <c r="B153" t="s">
        <v>229</v>
      </c>
      <c r="C153" t="s">
        <v>299</v>
      </c>
      <c r="D153" t="s">
        <v>72</v>
      </c>
      <c r="E153" s="9">
        <v>4</v>
      </c>
      <c r="F153" s="9" t="str">
        <f>_xll.XLOOKUP(C153,[1]Customers!$A:$A,[1]Customers!$D:$D,"-")</f>
        <v>Gold</v>
      </c>
      <c r="G153" s="9" t="str">
        <f>IF(AND(COUNTIF([1]Customers!$A:$A,C153)&gt;0,COUNTIF([1]Products!$A:$A,D153)&gt;0),"Valid","Invalid")</f>
        <v>Valid</v>
      </c>
    </row>
    <row r="154" spans="1:7" x14ac:dyDescent="0.25">
      <c r="A154" t="s">
        <v>14</v>
      </c>
      <c r="B154" t="s">
        <v>230</v>
      </c>
      <c r="C154" t="s">
        <v>300</v>
      </c>
      <c r="D154" t="s">
        <v>72</v>
      </c>
      <c r="E154" s="9">
        <v>4</v>
      </c>
      <c r="F154" s="9" t="str">
        <f>_xll.XLOOKUP(C154,[1]Customers!$A:$A,[1]Customers!$D:$D,"-")</f>
        <v>Bronze</v>
      </c>
      <c r="G154" s="9" t="str">
        <f>IF(AND(COUNTIF([1]Customers!$A:$A,C154)&gt;0,COUNTIF([1]Products!$A:$A,D154)&gt;0),"Valid","Invalid")</f>
        <v>Valid</v>
      </c>
    </row>
    <row r="155" spans="1:7" x14ac:dyDescent="0.25">
      <c r="A155" t="s">
        <v>51</v>
      </c>
      <c r="B155" t="s">
        <v>231</v>
      </c>
      <c r="C155" t="s">
        <v>303</v>
      </c>
      <c r="D155" t="s">
        <v>68</v>
      </c>
      <c r="E155" s="9">
        <v>1</v>
      </c>
      <c r="F155" s="9" t="str">
        <f>_xll.XLOOKUP(C155,[1]Customers!$A:$A,[1]Customers!$D:$D,"-")</f>
        <v>-</v>
      </c>
      <c r="G155" s="9" t="str">
        <f>IF(AND(COUNTIF([1]Customers!$A:$A,C155)&gt;0,COUNTIF([1]Products!$A:$A,D155)&gt;0),"Valid","Invalid")</f>
        <v>Invalid</v>
      </c>
    </row>
    <row r="156" spans="1:7" x14ac:dyDescent="0.25">
      <c r="A156" t="s">
        <v>20</v>
      </c>
      <c r="B156" t="s">
        <v>232</v>
      </c>
      <c r="C156" t="s">
        <v>302</v>
      </c>
      <c r="D156" t="s">
        <v>68</v>
      </c>
      <c r="E156" s="9">
        <v>1</v>
      </c>
      <c r="F156" s="9" t="str">
        <f>_xll.XLOOKUP(C156,[1]Customers!$A:$A,[1]Customers!$D:$D,"-")</f>
        <v>Gold</v>
      </c>
      <c r="G156" s="9" t="str">
        <f>IF(AND(COUNTIF([1]Customers!$A:$A,C156)&gt;0,COUNTIF([1]Products!$A:$A,D156)&gt;0),"Valid","Invalid")</f>
        <v>Valid</v>
      </c>
    </row>
    <row r="157" spans="1:7" x14ac:dyDescent="0.25">
      <c r="A157" t="s">
        <v>15</v>
      </c>
      <c r="B157" t="s">
        <v>233</v>
      </c>
      <c r="C157" t="s">
        <v>303</v>
      </c>
      <c r="D157" t="s">
        <v>73</v>
      </c>
      <c r="E157" s="9">
        <v>2</v>
      </c>
      <c r="F157" s="9" t="str">
        <f>_xll.XLOOKUP(C157,[1]Customers!$A:$A,[1]Customers!$D:$D,"-")</f>
        <v>-</v>
      </c>
      <c r="G157" s="9" t="str">
        <f>IF(AND(COUNTIF([1]Customers!$A:$A,C157)&gt;0,COUNTIF([1]Products!$A:$A,D157)&gt;0),"Valid","Invalid")</f>
        <v>Invalid</v>
      </c>
    </row>
    <row r="158" spans="1:7" x14ac:dyDescent="0.25">
      <c r="A158" t="s">
        <v>35</v>
      </c>
      <c r="B158" t="s">
        <v>234</v>
      </c>
      <c r="C158" t="s">
        <v>302</v>
      </c>
      <c r="D158" t="s">
        <v>70</v>
      </c>
      <c r="E158" s="9">
        <v>2</v>
      </c>
      <c r="F158" s="9" t="str">
        <f>_xll.XLOOKUP(C158,[1]Customers!$A:$A,[1]Customers!$D:$D,"-")</f>
        <v>Gold</v>
      </c>
      <c r="G158" s="9" t="str">
        <f>IF(AND(COUNTIF([1]Customers!$A:$A,C158)&gt;0,COUNTIF([1]Products!$A:$A,D158)&gt;0),"Valid","Invalid")</f>
        <v>Valid</v>
      </c>
    </row>
    <row r="159" spans="1:7" x14ac:dyDescent="0.25">
      <c r="A159" t="s">
        <v>5</v>
      </c>
      <c r="B159" t="s">
        <v>235</v>
      </c>
      <c r="C159" t="s">
        <v>303</v>
      </c>
      <c r="D159" t="s">
        <v>72</v>
      </c>
      <c r="E159" s="9">
        <v>3</v>
      </c>
      <c r="F159" s="9" t="str">
        <f>_xll.XLOOKUP(C159,[1]Customers!$A:$A,[1]Customers!$D:$D,"-")</f>
        <v>-</v>
      </c>
      <c r="G159" s="9" t="str">
        <f>IF(AND(COUNTIF([1]Customers!$A:$A,C159)&gt;0,COUNTIF([1]Products!$A:$A,D159)&gt;0),"Valid","Invalid")</f>
        <v>Invalid</v>
      </c>
    </row>
    <row r="160" spans="1:7" x14ac:dyDescent="0.25">
      <c r="A160" t="s">
        <v>5</v>
      </c>
      <c r="B160" t="s">
        <v>236</v>
      </c>
      <c r="C160" t="s">
        <v>302</v>
      </c>
      <c r="D160" t="s">
        <v>70</v>
      </c>
      <c r="E160" s="9">
        <v>3</v>
      </c>
      <c r="F160" s="9" t="str">
        <f>_xll.XLOOKUP(C160,[1]Customers!$A:$A,[1]Customers!$D:$D,"-")</f>
        <v>Gold</v>
      </c>
      <c r="G160" s="9" t="str">
        <f>IF(AND(COUNTIF([1]Customers!$A:$A,C160)&gt;0,COUNTIF([1]Products!$A:$A,D160)&gt;0),"Valid","Invalid")</f>
        <v>Valid</v>
      </c>
    </row>
    <row r="161" spans="1:7" x14ac:dyDescent="0.25">
      <c r="A161" t="s">
        <v>5</v>
      </c>
      <c r="B161" t="s">
        <v>237</v>
      </c>
      <c r="C161" t="s">
        <v>301</v>
      </c>
      <c r="D161" t="s">
        <v>69</v>
      </c>
      <c r="E161" s="9">
        <v>1</v>
      </c>
      <c r="F161" s="9" t="str">
        <f>_xll.XLOOKUP(C161,[1]Customers!$A:$A,[1]Customers!$D:$D,"-")</f>
        <v>Silver</v>
      </c>
      <c r="G161" s="9" t="str">
        <f>IF(AND(COUNTIF([1]Customers!$A:$A,C161)&gt;0,COUNTIF([1]Products!$A:$A,D161)&gt;0),"Valid","Invalid")</f>
        <v>Valid</v>
      </c>
    </row>
    <row r="162" spans="1:7" x14ac:dyDescent="0.25">
      <c r="A162" t="s">
        <v>51</v>
      </c>
      <c r="B162" t="s">
        <v>238</v>
      </c>
      <c r="C162" t="s">
        <v>301</v>
      </c>
      <c r="D162" t="s">
        <v>68</v>
      </c>
      <c r="E162" s="9">
        <v>4</v>
      </c>
      <c r="F162" s="9" t="str">
        <f>_xll.XLOOKUP(C162,[1]Customers!$A:$A,[1]Customers!$D:$D,"-")</f>
        <v>Silver</v>
      </c>
      <c r="G162" s="9" t="str">
        <f>IF(AND(COUNTIF([1]Customers!$A:$A,C162)&gt;0,COUNTIF([1]Products!$A:$A,D162)&gt;0),"Valid","Invalid")</f>
        <v>Valid</v>
      </c>
    </row>
    <row r="163" spans="1:7" x14ac:dyDescent="0.25">
      <c r="A163" t="s">
        <v>58</v>
      </c>
      <c r="B163" t="s">
        <v>239</v>
      </c>
      <c r="C163" t="s">
        <v>301</v>
      </c>
      <c r="D163" t="s">
        <v>72</v>
      </c>
      <c r="E163" s="9">
        <v>3</v>
      </c>
      <c r="F163" s="9" t="str">
        <f>_xll.XLOOKUP(C163,[1]Customers!$A:$A,[1]Customers!$D:$D,"-")</f>
        <v>Silver</v>
      </c>
      <c r="G163" s="9" t="str">
        <f>IF(AND(COUNTIF([1]Customers!$A:$A,C163)&gt;0,COUNTIF([1]Products!$A:$A,D163)&gt;0),"Valid","Invalid")</f>
        <v>Valid</v>
      </c>
    </row>
    <row r="164" spans="1:7" x14ac:dyDescent="0.25">
      <c r="A164" t="s">
        <v>21</v>
      </c>
      <c r="B164" t="s">
        <v>240</v>
      </c>
      <c r="C164" t="s">
        <v>301</v>
      </c>
      <c r="D164" t="s">
        <v>73</v>
      </c>
      <c r="E164" s="9">
        <v>3</v>
      </c>
      <c r="F164" s="9" t="str">
        <f>_xll.XLOOKUP(C164,[1]Customers!$A:$A,[1]Customers!$D:$D,"-")</f>
        <v>Silver</v>
      </c>
      <c r="G164" s="9" t="str">
        <f>IF(AND(COUNTIF([1]Customers!$A:$A,C164)&gt;0,COUNTIF([1]Products!$A:$A,D164)&gt;0),"Valid","Invalid")</f>
        <v>Valid</v>
      </c>
    </row>
    <row r="165" spans="1:7" x14ac:dyDescent="0.25">
      <c r="A165" t="s">
        <v>26</v>
      </c>
      <c r="B165" t="s">
        <v>241</v>
      </c>
      <c r="C165" t="s">
        <v>302</v>
      </c>
      <c r="D165" t="s">
        <v>71</v>
      </c>
      <c r="E165" s="9">
        <v>4</v>
      </c>
      <c r="F165" s="9" t="str">
        <f>_xll.XLOOKUP(C165,[1]Customers!$A:$A,[1]Customers!$D:$D,"-")</f>
        <v>Gold</v>
      </c>
      <c r="G165" s="9" t="str">
        <f>IF(AND(COUNTIF([1]Customers!$A:$A,C165)&gt;0,COUNTIF([1]Products!$A:$A,D165)&gt;0),"Valid","Invalid")</f>
        <v>Valid</v>
      </c>
    </row>
    <row r="166" spans="1:7" x14ac:dyDescent="0.25">
      <c r="A166" t="s">
        <v>59</v>
      </c>
      <c r="B166" t="s">
        <v>242</v>
      </c>
      <c r="C166" t="s">
        <v>301</v>
      </c>
      <c r="D166" t="s">
        <v>72</v>
      </c>
      <c r="E166" s="9">
        <v>3</v>
      </c>
      <c r="F166" s="9" t="str">
        <f>_xll.XLOOKUP(C166,[1]Customers!$A:$A,[1]Customers!$D:$D,"-")</f>
        <v>Silver</v>
      </c>
      <c r="G166" s="9" t="str">
        <f>IF(AND(COUNTIF([1]Customers!$A:$A,C166)&gt;0,COUNTIF([1]Products!$A:$A,D166)&gt;0),"Valid","Invalid")</f>
        <v>Valid</v>
      </c>
    </row>
    <row r="167" spans="1:7" x14ac:dyDescent="0.25">
      <c r="A167" t="s">
        <v>49</v>
      </c>
      <c r="B167" t="s">
        <v>243</v>
      </c>
      <c r="C167" t="s">
        <v>299</v>
      </c>
      <c r="D167" t="s">
        <v>73</v>
      </c>
      <c r="E167" s="9">
        <v>3</v>
      </c>
      <c r="F167" s="9" t="str">
        <f>_xll.XLOOKUP(C167,[1]Customers!$A:$A,[1]Customers!$D:$D,"-")</f>
        <v>Gold</v>
      </c>
      <c r="G167" s="9" t="str">
        <f>IF(AND(COUNTIF([1]Customers!$A:$A,C167)&gt;0,COUNTIF([1]Products!$A:$A,D167)&gt;0),"Valid","Invalid")</f>
        <v>Valid</v>
      </c>
    </row>
    <row r="168" spans="1:7" x14ac:dyDescent="0.25">
      <c r="A168" t="s">
        <v>6</v>
      </c>
      <c r="B168" t="s">
        <v>244</v>
      </c>
      <c r="C168" t="s">
        <v>300</v>
      </c>
      <c r="D168" t="s">
        <v>70</v>
      </c>
      <c r="E168" s="9">
        <v>4</v>
      </c>
      <c r="F168" s="9" t="str">
        <f>_xll.XLOOKUP(C168,[1]Customers!$A:$A,[1]Customers!$D:$D,"-")</f>
        <v>Bronze</v>
      </c>
      <c r="G168" s="9" t="str">
        <f>IF(AND(COUNTIF([1]Customers!$A:$A,C168)&gt;0,COUNTIF([1]Products!$A:$A,D168)&gt;0),"Valid","Invalid")</f>
        <v>Valid</v>
      </c>
    </row>
    <row r="169" spans="1:7" x14ac:dyDescent="0.25">
      <c r="A169" t="s">
        <v>32</v>
      </c>
      <c r="B169" t="s">
        <v>245</v>
      </c>
      <c r="C169" t="s">
        <v>299</v>
      </c>
      <c r="D169" t="s">
        <v>68</v>
      </c>
      <c r="E169" s="9">
        <v>4</v>
      </c>
      <c r="F169" s="9" t="str">
        <f>_xll.XLOOKUP(C169,[1]Customers!$A:$A,[1]Customers!$D:$D,"-")</f>
        <v>Gold</v>
      </c>
      <c r="G169" s="9" t="str">
        <f>IF(AND(COUNTIF([1]Customers!$A:$A,C169)&gt;0,COUNTIF([1]Products!$A:$A,D169)&gt;0),"Valid","Invalid")</f>
        <v>Valid</v>
      </c>
    </row>
    <row r="170" spans="1:7" x14ac:dyDescent="0.25">
      <c r="A170" t="s">
        <v>52</v>
      </c>
      <c r="B170" t="s">
        <v>246</v>
      </c>
      <c r="C170" t="s">
        <v>301</v>
      </c>
      <c r="D170" t="s">
        <v>71</v>
      </c>
      <c r="E170" s="9">
        <v>1</v>
      </c>
      <c r="F170" s="9" t="str">
        <f>_xll.XLOOKUP(C170,[1]Customers!$A:$A,[1]Customers!$D:$D,"-")</f>
        <v>Silver</v>
      </c>
      <c r="G170" s="9" t="str">
        <f>IF(AND(COUNTIF([1]Customers!$A:$A,C170)&gt;0,COUNTIF([1]Products!$A:$A,D170)&gt;0),"Valid","Invalid")</f>
        <v>Valid</v>
      </c>
    </row>
    <row r="171" spans="1:7" x14ac:dyDescent="0.25">
      <c r="A171" t="s">
        <v>5</v>
      </c>
      <c r="B171" t="s">
        <v>247</v>
      </c>
      <c r="C171" t="s">
        <v>301</v>
      </c>
      <c r="D171" t="s">
        <v>70</v>
      </c>
      <c r="E171" s="9">
        <v>4</v>
      </c>
      <c r="F171" s="9" t="str">
        <f>_xll.XLOOKUP(C171,[1]Customers!$A:$A,[1]Customers!$D:$D,"-")</f>
        <v>Silver</v>
      </c>
      <c r="G171" s="9" t="str">
        <f>IF(AND(COUNTIF([1]Customers!$A:$A,C171)&gt;0,COUNTIF([1]Products!$A:$A,D171)&gt;0),"Valid","Invalid")</f>
        <v>Valid</v>
      </c>
    </row>
    <row r="172" spans="1:7" x14ac:dyDescent="0.25">
      <c r="A172" t="s">
        <v>7</v>
      </c>
      <c r="B172" t="s">
        <v>248</v>
      </c>
      <c r="C172" t="s">
        <v>300</v>
      </c>
      <c r="D172" t="s">
        <v>72</v>
      </c>
      <c r="E172" s="9">
        <v>3</v>
      </c>
      <c r="F172" s="9" t="str">
        <f>_xll.XLOOKUP(C172,[1]Customers!$A:$A,[1]Customers!$D:$D,"-")</f>
        <v>Bronze</v>
      </c>
      <c r="G172" s="9" t="str">
        <f>IF(AND(COUNTIF([1]Customers!$A:$A,C172)&gt;0,COUNTIF([1]Products!$A:$A,D172)&gt;0),"Valid","Invalid")</f>
        <v>Valid</v>
      </c>
    </row>
    <row r="173" spans="1:7" x14ac:dyDescent="0.25">
      <c r="A173" t="s">
        <v>8</v>
      </c>
      <c r="B173" t="s">
        <v>249</v>
      </c>
      <c r="C173" t="s">
        <v>300</v>
      </c>
      <c r="D173" t="s">
        <v>73</v>
      </c>
      <c r="E173" s="9">
        <v>3</v>
      </c>
      <c r="F173" s="9" t="str">
        <f>_xll.XLOOKUP(C173,[1]Customers!$A:$A,[1]Customers!$D:$D,"-")</f>
        <v>Bronze</v>
      </c>
      <c r="G173" s="9" t="str">
        <f>IF(AND(COUNTIF([1]Customers!$A:$A,C173)&gt;0,COUNTIF([1]Products!$A:$A,D173)&gt;0),"Valid","Invalid")</f>
        <v>Valid</v>
      </c>
    </row>
    <row r="174" spans="1:7" x14ac:dyDescent="0.25">
      <c r="A174" t="s">
        <v>22</v>
      </c>
      <c r="B174" t="s">
        <v>250</v>
      </c>
      <c r="C174" t="s">
        <v>299</v>
      </c>
      <c r="D174" t="s">
        <v>71</v>
      </c>
      <c r="E174" s="9">
        <v>3</v>
      </c>
      <c r="F174" s="9" t="str">
        <f>_xll.XLOOKUP(C174,[1]Customers!$A:$A,[1]Customers!$D:$D,"-")</f>
        <v>Gold</v>
      </c>
      <c r="G174" s="9" t="str">
        <f>IF(AND(COUNTIF([1]Customers!$A:$A,C174)&gt;0,COUNTIF([1]Products!$A:$A,D174)&gt;0),"Valid","Invalid")</f>
        <v>Valid</v>
      </c>
    </row>
    <row r="175" spans="1:7" x14ac:dyDescent="0.25">
      <c r="A175" t="s">
        <v>40</v>
      </c>
      <c r="B175" t="s">
        <v>251</v>
      </c>
      <c r="C175" t="s">
        <v>302</v>
      </c>
      <c r="D175" t="s">
        <v>69</v>
      </c>
      <c r="E175" s="9">
        <v>4</v>
      </c>
      <c r="F175" s="9" t="str">
        <f>_xll.XLOOKUP(C175,[1]Customers!$A:$A,[1]Customers!$D:$D,"-")</f>
        <v>Gold</v>
      </c>
      <c r="G175" s="9" t="str">
        <f>IF(AND(COUNTIF([1]Customers!$A:$A,C175)&gt;0,COUNTIF([1]Products!$A:$A,D175)&gt;0),"Valid","Invalid")</f>
        <v>Valid</v>
      </c>
    </row>
    <row r="176" spans="1:7" x14ac:dyDescent="0.25">
      <c r="A176" t="s">
        <v>37</v>
      </c>
      <c r="B176" t="s">
        <v>252</v>
      </c>
      <c r="C176" t="s">
        <v>301</v>
      </c>
      <c r="D176" t="s">
        <v>73</v>
      </c>
      <c r="E176" s="9">
        <v>1</v>
      </c>
      <c r="F176" s="9" t="str">
        <f>_xll.XLOOKUP(C176,[1]Customers!$A:$A,[1]Customers!$D:$D,"-")</f>
        <v>Silver</v>
      </c>
      <c r="G176" s="9" t="str">
        <f>IF(AND(COUNTIF([1]Customers!$A:$A,C176)&gt;0,COUNTIF([1]Products!$A:$A,D176)&gt;0),"Valid","Invalid")</f>
        <v>Valid</v>
      </c>
    </row>
    <row r="177" spans="1:7" x14ac:dyDescent="0.25">
      <c r="A177" t="s">
        <v>15</v>
      </c>
      <c r="B177" t="s">
        <v>253</v>
      </c>
      <c r="C177" t="s">
        <v>299</v>
      </c>
      <c r="D177" t="s">
        <v>304</v>
      </c>
      <c r="E177" s="9">
        <v>4</v>
      </c>
      <c r="F177" s="9" t="str">
        <f>_xll.XLOOKUP(C177,[1]Customers!$A:$A,[1]Customers!$D:$D,"-")</f>
        <v>Gold</v>
      </c>
      <c r="G177" s="9" t="str">
        <f>IF(AND(COUNTIF([1]Customers!$A:$A,C177)&gt;0,COUNTIF([1]Products!$A:$A,D177)&gt;0),"Valid","Invalid")</f>
        <v>Invalid</v>
      </c>
    </row>
    <row r="178" spans="1:7" x14ac:dyDescent="0.25">
      <c r="A178" t="s">
        <v>24</v>
      </c>
      <c r="B178" t="s">
        <v>254</v>
      </c>
      <c r="C178" t="s">
        <v>300</v>
      </c>
      <c r="D178" t="s">
        <v>71</v>
      </c>
      <c r="E178" s="9">
        <v>1</v>
      </c>
      <c r="F178" s="9" t="str">
        <f>_xll.XLOOKUP(C178,[1]Customers!$A:$A,[1]Customers!$D:$D,"-")</f>
        <v>Bronze</v>
      </c>
      <c r="G178" s="9" t="str">
        <f>IF(AND(COUNTIF([1]Customers!$A:$A,C178)&gt;0,COUNTIF([1]Products!$A:$A,D178)&gt;0),"Valid","Invalid")</f>
        <v>Valid</v>
      </c>
    </row>
    <row r="179" spans="1:7" x14ac:dyDescent="0.25">
      <c r="A179" t="s">
        <v>17</v>
      </c>
      <c r="B179" t="s">
        <v>255</v>
      </c>
      <c r="C179" t="s">
        <v>302</v>
      </c>
      <c r="D179" t="s">
        <v>69</v>
      </c>
      <c r="E179" s="9">
        <v>1</v>
      </c>
      <c r="F179" s="9" t="str">
        <f>_xll.XLOOKUP(C179,[1]Customers!$A:$A,[1]Customers!$D:$D,"-")</f>
        <v>Gold</v>
      </c>
      <c r="G179" s="9" t="str">
        <f>IF(AND(COUNTIF([1]Customers!$A:$A,C179)&gt;0,COUNTIF([1]Products!$A:$A,D179)&gt;0),"Valid","Invalid")</f>
        <v>Valid</v>
      </c>
    </row>
    <row r="180" spans="1:7" x14ac:dyDescent="0.25">
      <c r="A180" t="s">
        <v>58</v>
      </c>
      <c r="B180" t="s">
        <v>256</v>
      </c>
      <c r="C180" t="s">
        <v>302</v>
      </c>
      <c r="D180" t="s">
        <v>69</v>
      </c>
      <c r="E180" s="9">
        <v>1</v>
      </c>
      <c r="F180" s="9" t="str">
        <f>_xll.XLOOKUP(C180,[1]Customers!$A:$A,[1]Customers!$D:$D,"-")</f>
        <v>Gold</v>
      </c>
      <c r="G180" s="9" t="str">
        <f>IF(AND(COUNTIF([1]Customers!$A:$A,C180)&gt;0,COUNTIF([1]Products!$A:$A,D180)&gt;0),"Valid","Invalid")</f>
        <v>Valid</v>
      </c>
    </row>
    <row r="181" spans="1:7" x14ac:dyDescent="0.25">
      <c r="A181" t="s">
        <v>18</v>
      </c>
      <c r="B181" t="s">
        <v>257</v>
      </c>
      <c r="C181" t="s">
        <v>302</v>
      </c>
      <c r="D181" t="s">
        <v>304</v>
      </c>
      <c r="E181" s="9">
        <v>1</v>
      </c>
      <c r="F181" s="9" t="str">
        <f>_xll.XLOOKUP(C181,[1]Customers!$A:$A,[1]Customers!$D:$D,"-")</f>
        <v>Gold</v>
      </c>
      <c r="G181" s="9" t="str">
        <f>IF(AND(COUNTIF([1]Customers!$A:$A,C181)&gt;0,COUNTIF([1]Products!$A:$A,D181)&gt;0),"Valid","Invalid")</f>
        <v>Invalid</v>
      </c>
    </row>
    <row r="182" spans="1:7" x14ac:dyDescent="0.25">
      <c r="A182" t="s">
        <v>10</v>
      </c>
      <c r="B182" t="s">
        <v>258</v>
      </c>
      <c r="C182" t="s">
        <v>302</v>
      </c>
      <c r="D182" t="s">
        <v>71</v>
      </c>
      <c r="E182" s="9">
        <v>3</v>
      </c>
      <c r="F182" s="9" t="str">
        <f>_xll.XLOOKUP(C182,[1]Customers!$A:$A,[1]Customers!$D:$D,"-")</f>
        <v>Gold</v>
      </c>
      <c r="G182" s="9" t="str">
        <f>IF(AND(COUNTIF([1]Customers!$A:$A,C182)&gt;0,COUNTIF([1]Products!$A:$A,D182)&gt;0),"Valid","Invalid")</f>
        <v>Valid</v>
      </c>
    </row>
    <row r="183" spans="1:7" x14ac:dyDescent="0.25">
      <c r="A183" t="s">
        <v>9</v>
      </c>
      <c r="B183" t="s">
        <v>259</v>
      </c>
      <c r="C183" t="s">
        <v>301</v>
      </c>
      <c r="D183" t="s">
        <v>69</v>
      </c>
      <c r="E183" s="9">
        <v>3</v>
      </c>
      <c r="F183" s="9" t="str">
        <f>_xll.XLOOKUP(C183,[1]Customers!$A:$A,[1]Customers!$D:$D,"-")</f>
        <v>Silver</v>
      </c>
      <c r="G183" s="9" t="str">
        <f>IF(AND(COUNTIF([1]Customers!$A:$A,C183)&gt;0,COUNTIF([1]Products!$A:$A,D183)&gt;0),"Valid","Invalid")</f>
        <v>Valid</v>
      </c>
    </row>
    <row r="184" spans="1:7" x14ac:dyDescent="0.25">
      <c r="A184" t="s">
        <v>53</v>
      </c>
      <c r="B184" t="s">
        <v>260</v>
      </c>
      <c r="C184" t="s">
        <v>298</v>
      </c>
      <c r="D184" t="s">
        <v>72</v>
      </c>
      <c r="E184" s="9">
        <v>3</v>
      </c>
      <c r="F184" s="9" t="str">
        <f>_xll.XLOOKUP(C184,[1]Customers!$A:$A,[1]Customers!$D:$D,"-")</f>
        <v>Silver</v>
      </c>
      <c r="G184" s="9" t="str">
        <f>IF(AND(COUNTIF([1]Customers!$A:$A,C184)&gt;0,COUNTIF([1]Products!$A:$A,D184)&gt;0),"Valid","Invalid")</f>
        <v>Valid</v>
      </c>
    </row>
    <row r="185" spans="1:7" x14ac:dyDescent="0.25">
      <c r="A185" t="s">
        <v>28</v>
      </c>
      <c r="B185" t="s">
        <v>261</v>
      </c>
      <c r="C185" t="s">
        <v>299</v>
      </c>
      <c r="D185" t="s">
        <v>70</v>
      </c>
      <c r="E185" s="9">
        <v>1</v>
      </c>
      <c r="F185" s="9" t="str">
        <f>_xll.XLOOKUP(C185,[1]Customers!$A:$A,[1]Customers!$D:$D,"-")</f>
        <v>Gold</v>
      </c>
      <c r="G185" s="9" t="str">
        <f>IF(AND(COUNTIF([1]Customers!$A:$A,C185)&gt;0,COUNTIF([1]Products!$A:$A,D185)&gt;0),"Valid","Invalid")</f>
        <v>Valid</v>
      </c>
    </row>
    <row r="186" spans="1:7" x14ac:dyDescent="0.25">
      <c r="A186" t="s">
        <v>53</v>
      </c>
      <c r="B186" t="s">
        <v>262</v>
      </c>
      <c r="C186" t="s">
        <v>299</v>
      </c>
      <c r="D186" t="s">
        <v>70</v>
      </c>
      <c r="E186" s="9">
        <v>3</v>
      </c>
      <c r="F186" s="9" t="str">
        <f>_xll.XLOOKUP(C186,[1]Customers!$A:$A,[1]Customers!$D:$D,"-")</f>
        <v>Gold</v>
      </c>
      <c r="G186" s="9" t="str">
        <f>IF(AND(COUNTIF([1]Customers!$A:$A,C186)&gt;0,COUNTIF([1]Products!$A:$A,D186)&gt;0),"Valid","Invalid")</f>
        <v>Valid</v>
      </c>
    </row>
    <row r="187" spans="1:7" x14ac:dyDescent="0.25">
      <c r="A187" t="s">
        <v>18</v>
      </c>
      <c r="B187" t="s">
        <v>263</v>
      </c>
      <c r="C187" t="s">
        <v>300</v>
      </c>
      <c r="D187" t="s">
        <v>73</v>
      </c>
      <c r="E187" s="9">
        <v>4</v>
      </c>
      <c r="F187" s="9" t="str">
        <f>_xll.XLOOKUP(C187,[1]Customers!$A:$A,[1]Customers!$D:$D,"-")</f>
        <v>Bronze</v>
      </c>
      <c r="G187" s="9" t="str">
        <f>IF(AND(COUNTIF([1]Customers!$A:$A,C187)&gt;0,COUNTIF([1]Products!$A:$A,D187)&gt;0),"Valid","Invalid")</f>
        <v>Valid</v>
      </c>
    </row>
    <row r="188" spans="1:7" x14ac:dyDescent="0.25">
      <c r="A188" t="s">
        <v>41</v>
      </c>
      <c r="B188" t="s">
        <v>264</v>
      </c>
      <c r="C188" t="s">
        <v>301</v>
      </c>
      <c r="D188" t="s">
        <v>73</v>
      </c>
      <c r="E188" s="9">
        <v>2</v>
      </c>
      <c r="F188" s="9" t="str">
        <f>_xll.XLOOKUP(C188,[1]Customers!$A:$A,[1]Customers!$D:$D,"-")</f>
        <v>Silver</v>
      </c>
      <c r="G188" s="9" t="str">
        <f>IF(AND(COUNTIF([1]Customers!$A:$A,C188)&gt;0,COUNTIF([1]Products!$A:$A,D188)&gt;0),"Valid","Invalid")</f>
        <v>Valid</v>
      </c>
    </row>
    <row r="189" spans="1:7" x14ac:dyDescent="0.25">
      <c r="A189" t="s">
        <v>52</v>
      </c>
      <c r="B189" t="s">
        <v>265</v>
      </c>
      <c r="C189" t="s">
        <v>301</v>
      </c>
      <c r="D189" t="s">
        <v>72</v>
      </c>
      <c r="E189" s="9">
        <v>1</v>
      </c>
      <c r="F189" s="9" t="str">
        <f>_xll.XLOOKUP(C189,[1]Customers!$A:$A,[1]Customers!$D:$D,"-")</f>
        <v>Silver</v>
      </c>
      <c r="G189" s="9" t="str">
        <f>IF(AND(COUNTIF([1]Customers!$A:$A,C189)&gt;0,COUNTIF([1]Products!$A:$A,D189)&gt;0),"Valid","Invalid")</f>
        <v>Valid</v>
      </c>
    </row>
    <row r="190" spans="1:7" x14ac:dyDescent="0.25">
      <c r="A190" t="s">
        <v>19</v>
      </c>
      <c r="B190" t="s">
        <v>266</v>
      </c>
      <c r="C190" t="s">
        <v>298</v>
      </c>
      <c r="D190" t="s">
        <v>68</v>
      </c>
      <c r="E190" s="9">
        <v>4</v>
      </c>
      <c r="F190" s="9" t="str">
        <f>_xll.XLOOKUP(C190,[1]Customers!$A:$A,[1]Customers!$D:$D,"-")</f>
        <v>Silver</v>
      </c>
      <c r="G190" s="9" t="str">
        <f>IF(AND(COUNTIF([1]Customers!$A:$A,C190)&gt;0,COUNTIF([1]Products!$A:$A,D190)&gt;0),"Valid","Invalid")</f>
        <v>Valid</v>
      </c>
    </row>
    <row r="191" spans="1:7" x14ac:dyDescent="0.25">
      <c r="A191" t="s">
        <v>7</v>
      </c>
      <c r="B191" t="s">
        <v>267</v>
      </c>
      <c r="C191" t="s">
        <v>301</v>
      </c>
      <c r="D191" t="s">
        <v>72</v>
      </c>
      <c r="E191" s="9">
        <v>4</v>
      </c>
      <c r="F191" s="9" t="str">
        <f>_xll.XLOOKUP(C191,[1]Customers!$A:$A,[1]Customers!$D:$D,"-")</f>
        <v>Silver</v>
      </c>
      <c r="G191" s="9" t="str">
        <f>IF(AND(COUNTIF([1]Customers!$A:$A,C191)&gt;0,COUNTIF([1]Products!$A:$A,D191)&gt;0),"Valid","Invalid")</f>
        <v>Valid</v>
      </c>
    </row>
    <row r="192" spans="1:7" x14ac:dyDescent="0.25">
      <c r="A192" t="s">
        <v>34</v>
      </c>
      <c r="B192" t="s">
        <v>268</v>
      </c>
      <c r="C192" t="s">
        <v>299</v>
      </c>
      <c r="D192" t="s">
        <v>72</v>
      </c>
      <c r="E192" s="9">
        <v>3</v>
      </c>
      <c r="F192" s="9" t="str">
        <f>_xll.XLOOKUP(C192,[1]Customers!$A:$A,[1]Customers!$D:$D,"-")</f>
        <v>Gold</v>
      </c>
      <c r="G192" s="9" t="str">
        <f>IF(AND(COUNTIF([1]Customers!$A:$A,C192)&gt;0,COUNTIF([1]Products!$A:$A,D192)&gt;0),"Valid","Invalid")</f>
        <v>Valid</v>
      </c>
    </row>
    <row r="193" spans="1:7" x14ac:dyDescent="0.25">
      <c r="A193" t="s">
        <v>42</v>
      </c>
      <c r="B193" t="s">
        <v>269</v>
      </c>
      <c r="C193" t="s">
        <v>300</v>
      </c>
      <c r="D193" t="s">
        <v>68</v>
      </c>
      <c r="E193" s="9">
        <v>4</v>
      </c>
      <c r="F193" s="9" t="str">
        <f>_xll.XLOOKUP(C193,[1]Customers!$A:$A,[1]Customers!$D:$D,"-")</f>
        <v>Bronze</v>
      </c>
      <c r="G193" s="9" t="str">
        <f>IF(AND(COUNTIF([1]Customers!$A:$A,C193)&gt;0,COUNTIF([1]Products!$A:$A,D193)&gt;0),"Valid","Invalid")</f>
        <v>Valid</v>
      </c>
    </row>
    <row r="194" spans="1:7" x14ac:dyDescent="0.25">
      <c r="A194" t="s">
        <v>10</v>
      </c>
      <c r="B194" t="s">
        <v>270</v>
      </c>
      <c r="C194" t="s">
        <v>300</v>
      </c>
      <c r="D194" t="s">
        <v>73</v>
      </c>
      <c r="E194" s="9">
        <v>2</v>
      </c>
      <c r="F194" s="9" t="str">
        <f>_xll.XLOOKUP(C194,[1]Customers!$A:$A,[1]Customers!$D:$D,"-")</f>
        <v>Bronze</v>
      </c>
      <c r="G194" s="9" t="str">
        <f>IF(AND(COUNTIF([1]Customers!$A:$A,C194)&gt;0,COUNTIF([1]Products!$A:$A,D194)&gt;0),"Valid","Invalid")</f>
        <v>Valid</v>
      </c>
    </row>
    <row r="195" spans="1:7" x14ac:dyDescent="0.25">
      <c r="A195" t="s">
        <v>28</v>
      </c>
      <c r="B195" t="s">
        <v>271</v>
      </c>
      <c r="C195" t="s">
        <v>302</v>
      </c>
      <c r="D195" t="s">
        <v>71</v>
      </c>
      <c r="E195" s="9">
        <v>3</v>
      </c>
      <c r="F195" s="9" t="str">
        <f>_xll.XLOOKUP(C195,[1]Customers!$A:$A,[1]Customers!$D:$D,"-")</f>
        <v>Gold</v>
      </c>
      <c r="G195" s="9" t="str">
        <f>IF(AND(COUNTIF([1]Customers!$A:$A,C195)&gt;0,COUNTIF([1]Products!$A:$A,D195)&gt;0),"Valid","Invalid")</f>
        <v>Valid</v>
      </c>
    </row>
    <row r="196" spans="1:7" x14ac:dyDescent="0.25">
      <c r="A196" t="s">
        <v>12</v>
      </c>
      <c r="B196" t="s">
        <v>272</v>
      </c>
      <c r="C196" t="s">
        <v>300</v>
      </c>
      <c r="D196" t="s">
        <v>73</v>
      </c>
      <c r="E196" s="9">
        <v>2</v>
      </c>
      <c r="F196" s="9" t="str">
        <f>_xll.XLOOKUP(C196,[1]Customers!$A:$A,[1]Customers!$D:$D,"-")</f>
        <v>Bronze</v>
      </c>
      <c r="G196" s="9" t="str">
        <f>IF(AND(COUNTIF([1]Customers!$A:$A,C196)&gt;0,COUNTIF([1]Products!$A:$A,D196)&gt;0),"Valid","Invalid")</f>
        <v>Valid</v>
      </c>
    </row>
    <row r="197" spans="1:7" x14ac:dyDescent="0.25">
      <c r="A197" t="s">
        <v>17</v>
      </c>
      <c r="B197" t="s">
        <v>273</v>
      </c>
      <c r="C197" t="s">
        <v>301</v>
      </c>
      <c r="D197" t="s">
        <v>73</v>
      </c>
      <c r="E197" s="9">
        <v>4</v>
      </c>
      <c r="F197" s="9" t="str">
        <f>_xll.XLOOKUP(C197,[1]Customers!$A:$A,[1]Customers!$D:$D,"-")</f>
        <v>Silver</v>
      </c>
      <c r="G197" s="9" t="str">
        <f>IF(AND(COUNTIF([1]Customers!$A:$A,C197)&gt;0,COUNTIF([1]Products!$A:$A,D197)&gt;0),"Valid","Invalid")</f>
        <v>Valid</v>
      </c>
    </row>
    <row r="198" spans="1:7" x14ac:dyDescent="0.25">
      <c r="A198" t="s">
        <v>21</v>
      </c>
      <c r="B198" t="s">
        <v>274</v>
      </c>
      <c r="C198" t="s">
        <v>300</v>
      </c>
      <c r="D198" t="s">
        <v>71</v>
      </c>
      <c r="E198" s="9">
        <v>1</v>
      </c>
      <c r="F198" s="9" t="str">
        <f>_xll.XLOOKUP(C198,[1]Customers!$A:$A,[1]Customers!$D:$D,"-")</f>
        <v>Bronze</v>
      </c>
      <c r="G198" s="9" t="str">
        <f>IF(AND(COUNTIF([1]Customers!$A:$A,C198)&gt;0,COUNTIF([1]Products!$A:$A,D198)&gt;0),"Valid","Invalid")</f>
        <v>Valid</v>
      </c>
    </row>
    <row r="199" spans="1:7" x14ac:dyDescent="0.25">
      <c r="A199" t="s">
        <v>47</v>
      </c>
      <c r="B199" t="s">
        <v>275</v>
      </c>
      <c r="C199" t="s">
        <v>298</v>
      </c>
      <c r="D199" t="s">
        <v>73</v>
      </c>
      <c r="E199" s="9">
        <v>2</v>
      </c>
      <c r="F199" s="9" t="str">
        <f>_xll.XLOOKUP(C199,[1]Customers!$A:$A,[1]Customers!$D:$D,"-")</f>
        <v>Silver</v>
      </c>
      <c r="G199" s="9" t="str">
        <f>IF(AND(COUNTIF([1]Customers!$A:$A,C199)&gt;0,COUNTIF([1]Products!$A:$A,D199)&gt;0),"Valid","Invalid")</f>
        <v>Valid</v>
      </c>
    </row>
    <row r="200" spans="1:7" x14ac:dyDescent="0.25">
      <c r="A200" t="s">
        <v>11</v>
      </c>
      <c r="B200" t="s">
        <v>276</v>
      </c>
      <c r="C200" t="s">
        <v>302</v>
      </c>
      <c r="D200" t="s">
        <v>72</v>
      </c>
      <c r="E200" s="9">
        <v>1</v>
      </c>
      <c r="F200" s="9" t="str">
        <f>_xll.XLOOKUP(C200,[1]Customers!$A:$A,[1]Customers!$D:$D,"-")</f>
        <v>Gold</v>
      </c>
      <c r="G200" s="9" t="str">
        <f>IF(AND(COUNTIF([1]Customers!$A:$A,C200)&gt;0,COUNTIF([1]Products!$A:$A,D200)&gt;0),"Valid","Invalid")</f>
        <v>Valid</v>
      </c>
    </row>
    <row r="201" spans="1:7" x14ac:dyDescent="0.25">
      <c r="A201" t="s">
        <v>9</v>
      </c>
      <c r="B201" t="s">
        <v>277</v>
      </c>
      <c r="C201" t="s">
        <v>300</v>
      </c>
      <c r="D201" t="s">
        <v>73</v>
      </c>
      <c r="E201" s="9">
        <v>1</v>
      </c>
      <c r="F201" s="9" t="str">
        <f>_xll.XLOOKUP(C201,[1]Customers!$A:$A,[1]Customers!$D:$D,"-")</f>
        <v>Bronze</v>
      </c>
      <c r="G201" s="9" t="str">
        <f>IF(AND(COUNTIF([1]Customers!$A:$A,C201)&gt;0,COUNTIF([1]Products!$A:$A,D201)&gt;0),"Valid","Invalid")</f>
        <v>Valid</v>
      </c>
    </row>
    <row r="202" spans="1:7" x14ac:dyDescent="0.25">
      <c r="A202" t="s">
        <v>55</v>
      </c>
      <c r="B202" t="s">
        <v>278</v>
      </c>
      <c r="C202" t="s">
        <v>299</v>
      </c>
      <c r="D202" t="s">
        <v>71</v>
      </c>
      <c r="E202" s="9">
        <v>1</v>
      </c>
      <c r="F202" s="9" t="str">
        <f>_xll.XLOOKUP(C202,[1]Customers!$A:$A,[1]Customers!$D:$D,"-")</f>
        <v>Gold</v>
      </c>
      <c r="G202" s="9" t="str">
        <f>IF(AND(COUNTIF([1]Customers!$A:$A,C202)&gt;0,COUNTIF([1]Products!$A:$A,D202)&gt;0),"Valid","Invalid")</f>
        <v>Valid</v>
      </c>
    </row>
    <row r="203" spans="1:7" x14ac:dyDescent="0.25">
      <c r="A203" t="s">
        <v>25</v>
      </c>
      <c r="B203" t="s">
        <v>279</v>
      </c>
      <c r="C203" t="s">
        <v>298</v>
      </c>
      <c r="D203" t="s">
        <v>71</v>
      </c>
      <c r="E203" s="9">
        <v>1</v>
      </c>
      <c r="F203" s="9" t="str">
        <f>_xll.XLOOKUP(C203,[1]Customers!$A:$A,[1]Customers!$D:$D,"-")</f>
        <v>Silver</v>
      </c>
      <c r="G203" s="9" t="str">
        <f>IF(AND(COUNTIF([1]Customers!$A:$A,C203)&gt;0,COUNTIF([1]Products!$A:$A,D203)&gt;0),"Valid","Invalid")</f>
        <v>Valid</v>
      </c>
    </row>
    <row r="204" spans="1:7" x14ac:dyDescent="0.25">
      <c r="A204" t="s">
        <v>30</v>
      </c>
      <c r="B204" t="s">
        <v>280</v>
      </c>
      <c r="C204" t="s">
        <v>299</v>
      </c>
      <c r="D204" t="s">
        <v>72</v>
      </c>
      <c r="E204" s="9">
        <v>1</v>
      </c>
      <c r="F204" s="9" t="str">
        <f>_xll.XLOOKUP(C204,[1]Customers!$A:$A,[1]Customers!$D:$D,"-")</f>
        <v>Gold</v>
      </c>
      <c r="G204" s="9" t="str">
        <f>IF(AND(COUNTIF([1]Customers!$A:$A,C204)&gt;0,COUNTIF([1]Products!$A:$A,D204)&gt;0),"Valid","Invalid")</f>
        <v>Valid</v>
      </c>
    </row>
    <row r="205" spans="1:7" x14ac:dyDescent="0.25">
      <c r="A205" t="s">
        <v>42</v>
      </c>
      <c r="B205" t="s">
        <v>281</v>
      </c>
      <c r="C205" t="s">
        <v>298</v>
      </c>
      <c r="D205" t="s">
        <v>69</v>
      </c>
      <c r="E205" s="9">
        <v>1</v>
      </c>
      <c r="F205" s="9" t="str">
        <f>_xll.XLOOKUP(C205,[1]Customers!$A:$A,[1]Customers!$D:$D,"-")</f>
        <v>Silver</v>
      </c>
      <c r="G205" s="9" t="str">
        <f>IF(AND(COUNTIF([1]Customers!$A:$A,C205)&gt;0,COUNTIF([1]Products!$A:$A,D205)&gt;0),"Valid","Invalid")</f>
        <v>Valid</v>
      </c>
    </row>
    <row r="206" spans="1:7" x14ac:dyDescent="0.25">
      <c r="A206" t="s">
        <v>49</v>
      </c>
      <c r="B206" t="s">
        <v>282</v>
      </c>
      <c r="C206" t="s">
        <v>301</v>
      </c>
      <c r="D206" t="s">
        <v>71</v>
      </c>
      <c r="E206" s="9">
        <v>3</v>
      </c>
      <c r="F206" s="9" t="str">
        <f>_xll.XLOOKUP(C206,[1]Customers!$A:$A,[1]Customers!$D:$D,"-")</f>
        <v>Silver</v>
      </c>
      <c r="G206" s="9" t="str">
        <f>IF(AND(COUNTIF([1]Customers!$A:$A,C206)&gt;0,COUNTIF([1]Products!$A:$A,D206)&gt;0),"Valid","Invalid")</f>
        <v>Valid</v>
      </c>
    </row>
    <row r="207" spans="1:7" x14ac:dyDescent="0.25">
      <c r="A207" t="s">
        <v>13</v>
      </c>
      <c r="B207" t="s">
        <v>283</v>
      </c>
      <c r="C207" t="s">
        <v>299</v>
      </c>
      <c r="D207" t="s">
        <v>72</v>
      </c>
      <c r="E207" s="9">
        <v>2</v>
      </c>
      <c r="F207" s="9" t="str">
        <f>_xll.XLOOKUP(C207,[1]Customers!$A:$A,[1]Customers!$D:$D,"-")</f>
        <v>Gold</v>
      </c>
      <c r="G207" s="9" t="str">
        <f>IF(AND(COUNTIF([1]Customers!$A:$A,C207)&gt;0,COUNTIF([1]Products!$A:$A,D207)&gt;0),"Valid","Invalid")</f>
        <v>Valid</v>
      </c>
    </row>
    <row r="208" spans="1:7" x14ac:dyDescent="0.25">
      <c r="A208" t="s">
        <v>31</v>
      </c>
      <c r="B208" t="s">
        <v>284</v>
      </c>
      <c r="C208" t="s">
        <v>298</v>
      </c>
      <c r="D208" t="s">
        <v>73</v>
      </c>
      <c r="E208" s="9">
        <v>3</v>
      </c>
      <c r="F208" s="9" t="str">
        <f>_xll.XLOOKUP(C208,[1]Customers!$A:$A,[1]Customers!$D:$D,"-")</f>
        <v>Silver</v>
      </c>
      <c r="G208" s="9" t="str">
        <f>IF(AND(COUNTIF([1]Customers!$A:$A,C208)&gt;0,COUNTIF([1]Products!$A:$A,D208)&gt;0),"Valid","Invalid")</f>
        <v>Valid</v>
      </c>
    </row>
    <row r="209" spans="1:7" x14ac:dyDescent="0.25">
      <c r="A209" t="s">
        <v>31</v>
      </c>
      <c r="B209" t="s">
        <v>285</v>
      </c>
      <c r="C209" t="s">
        <v>302</v>
      </c>
      <c r="D209" t="s">
        <v>68</v>
      </c>
      <c r="E209" s="9">
        <v>4</v>
      </c>
      <c r="F209" s="9" t="str">
        <f>_xll.XLOOKUP(C209,[1]Customers!$A:$A,[1]Customers!$D:$D,"-")</f>
        <v>Gold</v>
      </c>
      <c r="G209" s="9" t="str">
        <f>IF(AND(COUNTIF([1]Customers!$A:$A,C209)&gt;0,COUNTIF([1]Products!$A:$A,D209)&gt;0),"Valid","Invalid")</f>
        <v>Valid</v>
      </c>
    </row>
    <row r="210" spans="1:7" x14ac:dyDescent="0.25">
      <c r="A210" t="s">
        <v>27</v>
      </c>
      <c r="B210" t="s">
        <v>286</v>
      </c>
      <c r="C210" t="s">
        <v>301</v>
      </c>
      <c r="D210" t="s">
        <v>73</v>
      </c>
      <c r="E210" s="9">
        <v>4</v>
      </c>
      <c r="F210" s="9" t="str">
        <f>_xll.XLOOKUP(C210,[1]Customers!$A:$A,[1]Customers!$D:$D,"-")</f>
        <v>Silver</v>
      </c>
      <c r="G210" s="9" t="str">
        <f>IF(AND(COUNTIF([1]Customers!$A:$A,C210)&gt;0,COUNTIF([1]Products!$A:$A,D210)&gt;0),"Valid","Invalid")</f>
        <v>Valid</v>
      </c>
    </row>
    <row r="211" spans="1:7" x14ac:dyDescent="0.25">
      <c r="A211" t="s">
        <v>8</v>
      </c>
      <c r="B211" t="s">
        <v>287</v>
      </c>
      <c r="C211" t="s">
        <v>300</v>
      </c>
      <c r="D211" t="s">
        <v>68</v>
      </c>
      <c r="E211" s="9">
        <v>4</v>
      </c>
      <c r="F211" s="9" t="str">
        <f>_xll.XLOOKUP(C211,[1]Customers!$A:$A,[1]Customers!$D:$D,"-")</f>
        <v>Bronze</v>
      </c>
      <c r="G211" s="9" t="str">
        <f>IF(AND(COUNTIF([1]Customers!$A:$A,C211)&gt;0,COUNTIF([1]Products!$A:$A,D211)&gt;0),"Valid","Invalid")</f>
        <v>Valid</v>
      </c>
    </row>
    <row r="212" spans="1:7" x14ac:dyDescent="0.25">
      <c r="A212" t="s">
        <v>30</v>
      </c>
      <c r="B212" t="s">
        <v>288</v>
      </c>
      <c r="C212" t="s">
        <v>301</v>
      </c>
      <c r="D212" t="s">
        <v>70</v>
      </c>
      <c r="E212" s="9">
        <v>3</v>
      </c>
      <c r="F212" s="9" t="str">
        <f>_xll.XLOOKUP(C212,[1]Customers!$A:$A,[1]Customers!$D:$D,"-")</f>
        <v>Silver</v>
      </c>
      <c r="G212" s="9" t="str">
        <f>IF(AND(COUNTIF([1]Customers!$A:$A,C212)&gt;0,COUNTIF([1]Products!$A:$A,D212)&gt;0),"Valid","Invalid")</f>
        <v>Valid</v>
      </c>
    </row>
    <row r="213" spans="1:7" x14ac:dyDescent="0.25">
      <c r="A213" t="s">
        <v>63</v>
      </c>
      <c r="B213" t="s">
        <v>289</v>
      </c>
      <c r="C213" t="s">
        <v>302</v>
      </c>
      <c r="D213" t="s">
        <v>72</v>
      </c>
      <c r="E213" s="9">
        <v>1</v>
      </c>
      <c r="F213" s="9" t="str">
        <f>_xll.XLOOKUP(C213,[1]Customers!$A:$A,[1]Customers!$D:$D,"-")</f>
        <v>Gold</v>
      </c>
      <c r="G213" s="9" t="str">
        <f>IF(AND(COUNTIF([1]Customers!$A:$A,C213)&gt;0,COUNTIF([1]Products!$A:$A,D213)&gt;0),"Valid","Invalid")</f>
        <v>Valid</v>
      </c>
    </row>
    <row r="214" spans="1:7" x14ac:dyDescent="0.25">
      <c r="A214" t="s">
        <v>49</v>
      </c>
      <c r="B214" t="s">
        <v>290</v>
      </c>
      <c r="C214" t="s">
        <v>300</v>
      </c>
      <c r="D214" t="s">
        <v>72</v>
      </c>
      <c r="E214" s="9">
        <v>2</v>
      </c>
      <c r="F214" s="9" t="str">
        <f>_xll.XLOOKUP(C214,[1]Customers!$A:$A,[1]Customers!$D:$D,"-")</f>
        <v>Bronze</v>
      </c>
      <c r="G214" s="9" t="str">
        <f>IF(AND(COUNTIF([1]Customers!$A:$A,C214)&gt;0,COUNTIF([1]Products!$A:$A,D214)&gt;0),"Valid","Invalid")</f>
        <v>Valid</v>
      </c>
    </row>
    <row r="215" spans="1:7" x14ac:dyDescent="0.25">
      <c r="A215" t="s">
        <v>17</v>
      </c>
      <c r="B215" t="s">
        <v>291</v>
      </c>
      <c r="C215" t="s">
        <v>301</v>
      </c>
      <c r="D215" t="s">
        <v>73</v>
      </c>
      <c r="E215" s="9">
        <v>2</v>
      </c>
      <c r="F215" s="9" t="str">
        <f>_xll.XLOOKUP(C215,[1]Customers!$A:$A,[1]Customers!$D:$D,"-")</f>
        <v>Silver</v>
      </c>
      <c r="G215" s="9" t="str">
        <f>IF(AND(COUNTIF([1]Customers!$A:$A,C215)&gt;0,COUNTIF([1]Products!$A:$A,D215)&gt;0),"Valid","Invalid")</f>
        <v>Valid</v>
      </c>
    </row>
    <row r="216" spans="1:7" x14ac:dyDescent="0.25">
      <c r="A216" t="s">
        <v>42</v>
      </c>
      <c r="B216" t="s">
        <v>292</v>
      </c>
      <c r="C216" t="s">
        <v>298</v>
      </c>
      <c r="D216" t="s">
        <v>71</v>
      </c>
      <c r="E216" s="9">
        <v>1</v>
      </c>
      <c r="F216" s="9" t="str">
        <f>_xll.XLOOKUP(C216,[1]Customers!$A:$A,[1]Customers!$D:$D,"-")</f>
        <v>Silver</v>
      </c>
      <c r="G216" s="9" t="str">
        <f>IF(AND(COUNTIF([1]Customers!$A:$A,C216)&gt;0,COUNTIF([1]Products!$A:$A,D216)&gt;0),"Valid","Invalid")</f>
        <v>Valid</v>
      </c>
    </row>
    <row r="217" spans="1:7" x14ac:dyDescent="0.25">
      <c r="A217" t="s">
        <v>10</v>
      </c>
      <c r="B217" t="s">
        <v>293</v>
      </c>
      <c r="C217" t="s">
        <v>298</v>
      </c>
      <c r="D217" t="s">
        <v>69</v>
      </c>
      <c r="E217" s="9">
        <v>2</v>
      </c>
      <c r="F217" s="9" t="str">
        <f>_xll.XLOOKUP(C217,[1]Customers!$A:$A,[1]Customers!$D:$D,"-")</f>
        <v>Silver</v>
      </c>
      <c r="G217" s="9" t="str">
        <f>IF(AND(COUNTIF([1]Customers!$A:$A,C217)&gt;0,COUNTIF([1]Products!$A:$A,D217)&gt;0),"Valid","Invalid")</f>
        <v>Valid</v>
      </c>
    </row>
    <row r="218" spans="1:7" x14ac:dyDescent="0.25">
      <c r="A218" t="s">
        <v>21</v>
      </c>
      <c r="B218" t="s">
        <v>294</v>
      </c>
      <c r="C218" t="s">
        <v>299</v>
      </c>
      <c r="D218" t="s">
        <v>73</v>
      </c>
      <c r="E218" s="9">
        <v>3</v>
      </c>
      <c r="F218" s="9" t="str">
        <f>_xll.XLOOKUP(C218,[1]Customers!$A:$A,[1]Customers!$D:$D,"-")</f>
        <v>Gold</v>
      </c>
      <c r="G218" s="9" t="str">
        <f>IF(AND(COUNTIF([1]Customers!$A:$A,C218)&gt;0,COUNTIF([1]Products!$A:$A,D218)&gt;0),"Valid","Invalid")</f>
        <v>Valid</v>
      </c>
    </row>
    <row r="219" spans="1:7" x14ac:dyDescent="0.25">
      <c r="A219" t="s">
        <v>17</v>
      </c>
      <c r="B219" t="s">
        <v>295</v>
      </c>
      <c r="C219" t="s">
        <v>300</v>
      </c>
      <c r="D219" t="s">
        <v>72</v>
      </c>
      <c r="E219" s="9">
        <v>3</v>
      </c>
      <c r="F219" s="9" t="str">
        <f>_xll.XLOOKUP(C219,[1]Customers!$A:$A,[1]Customers!$D:$D,"-")</f>
        <v>Bronze</v>
      </c>
      <c r="G219" s="9" t="str">
        <f>IF(AND(COUNTIF([1]Customers!$A:$A,C219)&gt;0,COUNTIF([1]Products!$A:$A,D219)&gt;0),"Valid","Invalid")</f>
        <v>Valid</v>
      </c>
    </row>
    <row r="220" spans="1:7" x14ac:dyDescent="0.25">
      <c r="A220" t="s">
        <v>57</v>
      </c>
      <c r="B220" t="s">
        <v>296</v>
      </c>
      <c r="C220" t="s">
        <v>299</v>
      </c>
      <c r="D220" t="s">
        <v>68</v>
      </c>
      <c r="E220" s="9">
        <v>4</v>
      </c>
      <c r="F220" s="9" t="str">
        <f>_xll.XLOOKUP(C220,[1]Customers!$A:$A,[1]Customers!$D:$D,"-")</f>
        <v>Gold</v>
      </c>
      <c r="G220" s="9" t="str">
        <f>IF(AND(COUNTIF([1]Customers!$A:$A,C220)&gt;0,COUNTIF([1]Products!$A:$A,D220)&gt;0),"Valid","Invalid")</f>
        <v>Valid</v>
      </c>
    </row>
    <row r="221" spans="1:7" x14ac:dyDescent="0.25">
      <c r="A221" t="s">
        <v>26</v>
      </c>
      <c r="B221" t="s">
        <v>297</v>
      </c>
      <c r="C221" t="s">
        <v>303</v>
      </c>
      <c r="D221" t="s">
        <v>69</v>
      </c>
      <c r="E221" s="9">
        <v>4</v>
      </c>
      <c r="F221" s="9" t="str">
        <f>_xll.XLOOKUP(C221,[1]Customers!$A:$A,[1]Customers!$D:$D,"-")</f>
        <v>-</v>
      </c>
      <c r="G221" s="9" t="str">
        <f>IF(AND(COUNTIF([1]Customers!$A:$A,C221)&gt;0,COUNTIF([1]Products!$A:$A,D221)&gt;0),"Valid","Invalid")</f>
        <v>Invalid</v>
      </c>
    </row>
  </sheetData>
  <autoFilter ref="A1:G221" xr:uid="{EEF7B7D5-6C53-495C-A6A2-1E6B00BCE42B}"/>
  <pageMargins left="0.7" right="0.7" top="0.75" bottom="0.75" header="0.3" footer="0.3"/>
  <pageSetup paperSize="9" orientation="portrait" horizontalDpi="4294967293" verticalDpi="0" r:id="rId1"/>
  <headerFooter>
    <oddFooter>&amp;C_x000D_&amp;1#&amp;"Calibri"&amp;10&amp;K000000 Mondelez International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"/>
  <sheetViews>
    <sheetView workbookViewId="0"/>
  </sheetViews>
  <sheetFormatPr defaultRowHeight="15" x14ac:dyDescent="0.25"/>
  <cols>
    <col min="2" max="2" width="10.85546875" bestFit="1" customWidth="1"/>
    <col min="4" max="4" width="15.85546875" bestFit="1" customWidth="1"/>
    <col min="8" max="8" width="10.85546875" bestFit="1" customWidth="1"/>
    <col min="9" max="9" width="17.42578125" bestFit="1" customWidth="1"/>
    <col min="10" max="10" width="13.7109375" bestFit="1" customWidth="1"/>
    <col min="12" max="12" width="10.85546875" bestFit="1" customWidth="1"/>
    <col min="13" max="13" width="10.28515625" bestFit="1" customWidth="1"/>
  </cols>
  <sheetData>
    <row r="1" spans="1:14" x14ac:dyDescent="0.25">
      <c r="A1" s="1" t="s">
        <v>75</v>
      </c>
      <c r="B1" s="1" t="s">
        <v>305</v>
      </c>
      <c r="C1" s="2" t="s">
        <v>2</v>
      </c>
      <c r="D1" s="2" t="s">
        <v>314</v>
      </c>
    </row>
    <row r="2" spans="1:14" x14ac:dyDescent="0.25">
      <c r="A2" t="s">
        <v>126</v>
      </c>
      <c r="B2" t="s">
        <v>306</v>
      </c>
      <c r="C2" t="str">
        <f>_xll.XLOOKUP(A2,Orders_Online!B:B,Orders_Online!D:D)</f>
        <v>P004</v>
      </c>
      <c r="D2" t="str">
        <f>_xll.XLOOKUP(C2,[1]Products!$A:$A,[1]Products!$B:$B)</f>
        <v>Webcam HD</v>
      </c>
      <c r="H2" s="2" t="s">
        <v>305</v>
      </c>
      <c r="I2" s="2" t="s">
        <v>321</v>
      </c>
    </row>
    <row r="3" spans="1:14" x14ac:dyDescent="0.25">
      <c r="A3" t="s">
        <v>192</v>
      </c>
      <c r="B3" t="s">
        <v>307</v>
      </c>
      <c r="C3" t="str">
        <f>_xll.XLOOKUP(A3,Orders_Online!B:B,Orders_Online!D:D)</f>
        <v>P001</v>
      </c>
      <c r="D3" t="str">
        <f>_xll.XLOOKUP(C3,[1]Products!$A:$A,[1]Products!$B:$B)</f>
        <v>Keyboard Mecha</v>
      </c>
      <c r="H3" s="3" t="s">
        <v>306</v>
      </c>
      <c r="I3" s="3">
        <f>COUNTIF(B:B,H3)</f>
        <v>4</v>
      </c>
    </row>
    <row r="4" spans="1:14" x14ac:dyDescent="0.25">
      <c r="A4" t="s">
        <v>106</v>
      </c>
      <c r="B4" t="s">
        <v>308</v>
      </c>
      <c r="C4" t="str">
        <f>_xll.XLOOKUP(A4,Orders_Online!B:B,Orders_Online!D:D)</f>
        <v>P006</v>
      </c>
      <c r="D4" t="str">
        <f>_xll.XLOOKUP(C4,[1]Products!$A:$A,[1]Products!$B:$B)</f>
        <v>Mousepad XXL</v>
      </c>
      <c r="H4" s="3" t="s">
        <v>308</v>
      </c>
      <c r="I4" s="3">
        <f t="shared" ref="I4:I6" si="0">COUNTIF(B:B,H4)</f>
        <v>3</v>
      </c>
    </row>
    <row r="5" spans="1:14" x14ac:dyDescent="0.25">
      <c r="A5" t="s">
        <v>195</v>
      </c>
      <c r="B5" t="s">
        <v>307</v>
      </c>
      <c r="C5" t="str">
        <f>_xll.XLOOKUP(A5,Orders_Online!B:B,Orders_Online!D:D)</f>
        <v>P002</v>
      </c>
      <c r="D5" t="str">
        <f>_xll.XLOOKUP(C5,[1]Products!$A:$A,[1]Products!$B:$B)</f>
        <v>Mouse Wireless</v>
      </c>
      <c r="H5" s="3" t="s">
        <v>307</v>
      </c>
      <c r="I5" s="3">
        <f t="shared" si="0"/>
        <v>11</v>
      </c>
    </row>
    <row r="6" spans="1:14" x14ac:dyDescent="0.25">
      <c r="A6" t="s">
        <v>173</v>
      </c>
      <c r="B6" t="s">
        <v>309</v>
      </c>
      <c r="C6" t="str">
        <f>_xll.XLOOKUP(A6,Orders_Online!B:B,Orders_Online!D:D)</f>
        <v>P002</v>
      </c>
      <c r="D6" t="str">
        <f>_xll.XLOOKUP(C6,[1]Products!$A:$A,[1]Products!$B:$B)</f>
        <v>Mouse Wireless</v>
      </c>
      <c r="H6" s="3" t="s">
        <v>309</v>
      </c>
      <c r="I6" s="3">
        <f t="shared" si="0"/>
        <v>6</v>
      </c>
    </row>
    <row r="7" spans="1:14" x14ac:dyDescent="0.25">
      <c r="A7" t="s">
        <v>93</v>
      </c>
      <c r="B7" t="s">
        <v>307</v>
      </c>
      <c r="C7" t="str">
        <f>_xll.XLOOKUP(A7,Orders_Online!B:B,Orders_Online!D:D)</f>
        <v>P003</v>
      </c>
      <c r="D7" t="str">
        <f>_xll.XLOOKUP(C7,[1]Products!$A:$A,[1]Products!$B:$B)</f>
        <v>Headset Gaming</v>
      </c>
    </row>
    <row r="8" spans="1:14" x14ac:dyDescent="0.25">
      <c r="A8" t="s">
        <v>209</v>
      </c>
      <c r="B8" t="s">
        <v>309</v>
      </c>
      <c r="C8" t="str">
        <f>_xll.XLOOKUP(A8,Orders_Online!B:B,Orders_Online!D:D)</f>
        <v>P004</v>
      </c>
      <c r="D8" t="str">
        <f>_xll.XLOOKUP(C8,[1]Products!$A:$A,[1]Products!$B:$B)</f>
        <v>Webcam HD</v>
      </c>
      <c r="H8" s="14" t="s">
        <v>2</v>
      </c>
      <c r="I8" s="14" t="s">
        <v>314</v>
      </c>
      <c r="J8" s="14" t="s">
        <v>321</v>
      </c>
      <c r="K8" s="14" t="s">
        <v>305</v>
      </c>
      <c r="L8" s="14"/>
      <c r="M8" s="14"/>
      <c r="N8" s="14"/>
    </row>
    <row r="9" spans="1:14" x14ac:dyDescent="0.25">
      <c r="A9" t="s">
        <v>114</v>
      </c>
      <c r="B9" t="s">
        <v>307</v>
      </c>
      <c r="C9" t="str">
        <f>_xll.XLOOKUP(A9,Orders_Online!B:B,Orders_Online!D:D)</f>
        <v>P006</v>
      </c>
      <c r="D9" t="str">
        <f>_xll.XLOOKUP(C9,[1]Products!$A:$A,[1]Products!$B:$B)</f>
        <v>Mousepad XXL</v>
      </c>
      <c r="H9" s="14"/>
      <c r="I9" s="14"/>
      <c r="J9" s="14"/>
      <c r="K9" s="15" t="s">
        <v>308</v>
      </c>
      <c r="L9" s="15" t="s">
        <v>307</v>
      </c>
      <c r="M9" s="15" t="s">
        <v>309</v>
      </c>
      <c r="N9" s="15" t="s">
        <v>306</v>
      </c>
    </row>
    <row r="10" spans="1:14" x14ac:dyDescent="0.25">
      <c r="A10" t="s">
        <v>132</v>
      </c>
      <c r="B10" t="s">
        <v>307</v>
      </c>
      <c r="C10" t="str">
        <f>_xll.XLOOKUP(A10,Orders_Online!B:B,Orders_Online!D:D)</f>
        <v>P002</v>
      </c>
      <c r="D10" t="str">
        <f>_xll.XLOOKUP(C10,[1]Products!$A:$A,[1]Products!$B:$B)</f>
        <v>Mouse Wireless</v>
      </c>
      <c r="H10" s="13" t="s">
        <v>72</v>
      </c>
      <c r="I10" s="13" t="s">
        <v>315</v>
      </c>
      <c r="J10" s="13">
        <f>COUNTIF(C:C,H10)</f>
        <v>6</v>
      </c>
      <c r="K10" s="3">
        <f>COUNTIFS(C:C,H10,B:B,$K$9)</f>
        <v>0</v>
      </c>
      <c r="L10" s="3">
        <f>COUNTIFS(C:C,H10,B:B,$L$9)</f>
        <v>3</v>
      </c>
      <c r="M10" s="3">
        <f>COUNTIFS(C:C,H10,B:B,$M$9)</f>
        <v>2</v>
      </c>
      <c r="N10" s="3">
        <f>COUNTIFS(C:C,H10,B:B,$N$9)</f>
        <v>1</v>
      </c>
    </row>
    <row r="11" spans="1:14" x14ac:dyDescent="0.25">
      <c r="A11" t="s">
        <v>228</v>
      </c>
      <c r="B11" t="s">
        <v>308</v>
      </c>
      <c r="C11" t="str">
        <f>_xll.XLOOKUP(A11,Orders_Online!B:B,Orders_Online!D:D)</f>
        <v>P003</v>
      </c>
      <c r="D11" t="str">
        <f>_xll.XLOOKUP(C11,[1]Products!$A:$A,[1]Products!$B:$B)</f>
        <v>Headset Gaming</v>
      </c>
      <c r="H11" s="3" t="s">
        <v>68</v>
      </c>
      <c r="I11" s="3" t="s">
        <v>316</v>
      </c>
      <c r="J11" s="3">
        <f t="shared" ref="J11:J15" si="1">COUNTIF(C:C,H11)</f>
        <v>5</v>
      </c>
      <c r="K11" s="3">
        <f t="shared" ref="K11:K15" si="2">COUNTIFS(C:C,H11,B:B,$K$9)</f>
        <v>0</v>
      </c>
      <c r="L11" s="3">
        <f t="shared" ref="L11:L15" si="3">COUNTIFS(C:C,H11,B:B,$L$9)</f>
        <v>3</v>
      </c>
      <c r="M11" s="3">
        <f t="shared" ref="M11:M15" si="4">COUNTIFS(C:C,H11,B:B,$M$9)</f>
        <v>1</v>
      </c>
      <c r="N11" s="3">
        <f t="shared" ref="N11:N15" si="5">COUNTIFS(C:C,H11,B:B,$N$9)</f>
        <v>1</v>
      </c>
    </row>
    <row r="12" spans="1:14" x14ac:dyDescent="0.25">
      <c r="A12" t="s">
        <v>161</v>
      </c>
      <c r="B12" t="s">
        <v>309</v>
      </c>
      <c r="C12" t="str">
        <f>_xll.XLOOKUP(A12,Orders_Online!B:B,Orders_Online!D:D)</f>
        <v>P001</v>
      </c>
      <c r="D12" t="str">
        <f>_xll.XLOOKUP(C12,[1]Products!$A:$A,[1]Products!$B:$B)</f>
        <v>Keyboard Mecha</v>
      </c>
      <c r="H12" s="3" t="s">
        <v>69</v>
      </c>
      <c r="I12" s="3" t="s">
        <v>317</v>
      </c>
      <c r="J12" s="3">
        <f t="shared" si="1"/>
        <v>5</v>
      </c>
      <c r="K12" s="3">
        <f t="shared" si="2"/>
        <v>1</v>
      </c>
      <c r="L12" s="3">
        <f t="shared" si="3"/>
        <v>2</v>
      </c>
      <c r="M12" s="3">
        <f t="shared" si="4"/>
        <v>1</v>
      </c>
      <c r="N12" s="3">
        <f t="shared" si="5"/>
        <v>1</v>
      </c>
    </row>
    <row r="13" spans="1:14" x14ac:dyDescent="0.25">
      <c r="A13" t="s">
        <v>200</v>
      </c>
      <c r="B13" t="s">
        <v>306</v>
      </c>
      <c r="C13" t="str">
        <f>_xll.XLOOKUP(A13,Orders_Online!B:B,Orders_Online!D:D)</f>
        <v>P003</v>
      </c>
      <c r="D13" t="str">
        <f>_xll.XLOOKUP(C13,[1]Products!$A:$A,[1]Products!$B:$B)</f>
        <v>Headset Gaming</v>
      </c>
      <c r="H13" s="3" t="s">
        <v>70</v>
      </c>
      <c r="I13" s="3" t="s">
        <v>318</v>
      </c>
      <c r="J13" s="3">
        <f t="shared" si="1"/>
        <v>2</v>
      </c>
      <c r="K13" s="3">
        <f t="shared" si="2"/>
        <v>0</v>
      </c>
      <c r="L13" s="3">
        <f t="shared" si="3"/>
        <v>0</v>
      </c>
      <c r="M13" s="3">
        <f t="shared" si="4"/>
        <v>1</v>
      </c>
      <c r="N13" s="3">
        <f t="shared" si="5"/>
        <v>1</v>
      </c>
    </row>
    <row r="14" spans="1:14" x14ac:dyDescent="0.25">
      <c r="A14" t="s">
        <v>254</v>
      </c>
      <c r="B14" t="s">
        <v>307</v>
      </c>
      <c r="C14" t="str">
        <f>_xll.XLOOKUP(A14,Orders_Online!B:B,Orders_Online!D:D)</f>
        <v>P006</v>
      </c>
      <c r="D14" t="str">
        <f>_xll.XLOOKUP(C14,[1]Products!$A:$A,[1]Products!$B:$B)</f>
        <v>Mousepad XXL</v>
      </c>
      <c r="H14" s="3" t="s">
        <v>73</v>
      </c>
      <c r="I14" s="3" t="s">
        <v>319</v>
      </c>
      <c r="J14" s="3">
        <f t="shared" si="1"/>
        <v>1</v>
      </c>
      <c r="K14" s="3">
        <f t="shared" si="2"/>
        <v>0</v>
      </c>
      <c r="L14" s="3">
        <f t="shared" si="3"/>
        <v>0</v>
      </c>
      <c r="M14" s="3">
        <f t="shared" si="4"/>
        <v>1</v>
      </c>
      <c r="N14" s="3">
        <f t="shared" si="5"/>
        <v>0</v>
      </c>
    </row>
    <row r="15" spans="1:14" x14ac:dyDescent="0.25">
      <c r="A15" t="s">
        <v>248</v>
      </c>
      <c r="B15" t="s">
        <v>307</v>
      </c>
      <c r="C15" t="str">
        <f>_xll.XLOOKUP(A15,Orders_Online!B:B,Orders_Online!D:D)</f>
        <v>P001</v>
      </c>
      <c r="D15" t="str">
        <f>_xll.XLOOKUP(C15,[1]Products!$A:$A,[1]Products!$B:$B)</f>
        <v>Keyboard Mecha</v>
      </c>
      <c r="H15" s="3" t="s">
        <v>71</v>
      </c>
      <c r="I15" s="3" t="s">
        <v>320</v>
      </c>
      <c r="J15" s="3">
        <f t="shared" si="1"/>
        <v>5</v>
      </c>
      <c r="K15" s="3">
        <f t="shared" si="2"/>
        <v>2</v>
      </c>
      <c r="L15" s="3">
        <f t="shared" si="3"/>
        <v>3</v>
      </c>
      <c r="M15" s="3">
        <f t="shared" si="4"/>
        <v>0</v>
      </c>
      <c r="N15" s="3">
        <f t="shared" si="5"/>
        <v>0</v>
      </c>
    </row>
    <row r="16" spans="1:14" x14ac:dyDescent="0.25">
      <c r="A16" t="s">
        <v>180</v>
      </c>
      <c r="B16" t="s">
        <v>309</v>
      </c>
      <c r="C16" t="str">
        <f>_xll.XLOOKUP(A16,Orders_Online!B:B,Orders_Online!D:D)</f>
        <v>P005</v>
      </c>
      <c r="D16" t="str">
        <f>_xll.XLOOKUP(C16,[1]Products!$A:$A,[1]Products!$B:$B)</f>
        <v>USB-C Hub</v>
      </c>
    </row>
    <row r="17" spans="1:4" x14ac:dyDescent="0.25">
      <c r="A17" t="s">
        <v>296</v>
      </c>
      <c r="B17" t="s">
        <v>307</v>
      </c>
      <c r="C17" t="str">
        <f>_xll.XLOOKUP(A17,Orders_Online!B:B,Orders_Online!D:D)</f>
        <v>P002</v>
      </c>
      <c r="D17" t="str">
        <f>_xll.XLOOKUP(C17,[1]Products!$A:$A,[1]Products!$B:$B)</f>
        <v>Mouse Wireless</v>
      </c>
    </row>
    <row r="18" spans="1:4" x14ac:dyDescent="0.25">
      <c r="A18" t="s">
        <v>139</v>
      </c>
      <c r="B18" t="s">
        <v>307</v>
      </c>
      <c r="C18" t="str">
        <f>_xll.XLOOKUP(A18,Orders_Online!B:B,Orders_Online!D:D)</f>
        <v>P006</v>
      </c>
      <c r="D18" t="str">
        <f>_xll.XLOOKUP(C18,[1]Products!$A:$A,[1]Products!$B:$B)</f>
        <v>Mousepad XXL</v>
      </c>
    </row>
    <row r="19" spans="1:4" x14ac:dyDescent="0.25">
      <c r="A19" t="s">
        <v>116</v>
      </c>
      <c r="B19" t="s">
        <v>309</v>
      </c>
      <c r="C19" t="str">
        <f>_xll.XLOOKUP(A19,Orders_Online!B:B,Orders_Online!D:D)</f>
        <v>P003</v>
      </c>
      <c r="D19" t="str">
        <f>_xll.XLOOKUP(C19,[1]Products!$A:$A,[1]Products!$B:$B)</f>
        <v>Headset Gaming</v>
      </c>
    </row>
    <row r="20" spans="1:4" x14ac:dyDescent="0.25">
      <c r="A20" t="s">
        <v>133</v>
      </c>
      <c r="B20" t="s">
        <v>306</v>
      </c>
      <c r="C20" t="str">
        <f>_xll.XLOOKUP(A20,Orders_Online!B:B,Orders_Online!D:D)</f>
        <v>P002</v>
      </c>
      <c r="D20" t="str">
        <f>_xll.XLOOKUP(C20,[1]Products!$A:$A,[1]Products!$B:$B)</f>
        <v>Mouse Wireless</v>
      </c>
    </row>
    <row r="21" spans="1:4" x14ac:dyDescent="0.25">
      <c r="A21" t="s">
        <v>271</v>
      </c>
      <c r="B21" t="s">
        <v>308</v>
      </c>
      <c r="C21" t="str">
        <f>_xll.XLOOKUP(A21,Orders_Online!B:B,Orders_Online!D:D)</f>
        <v>P006</v>
      </c>
      <c r="D21" t="str">
        <f>_xll.XLOOKUP(C21,[1]Products!$A:$A,[1]Products!$B:$B)</f>
        <v>Mousepad XXL</v>
      </c>
    </row>
    <row r="22" spans="1:4" x14ac:dyDescent="0.25">
      <c r="A22" t="s">
        <v>191</v>
      </c>
      <c r="B22" t="s">
        <v>307</v>
      </c>
      <c r="C22" t="str">
        <f>_xll.XLOOKUP(A22,Orders_Online!B:B,Orders_Online!D:D)</f>
        <v>P001</v>
      </c>
      <c r="D22" t="str">
        <f>_xll.XLOOKUP(C22,[1]Products!$A:$A,[1]Products!$B:$B)</f>
        <v>Keyboard Mecha</v>
      </c>
    </row>
    <row r="23" spans="1:4" x14ac:dyDescent="0.25">
      <c r="A23" t="s">
        <v>224</v>
      </c>
      <c r="B23" t="s">
        <v>306</v>
      </c>
      <c r="C23" t="str">
        <f>_xll.XLOOKUP(A23,Orders_Online!B:B,Orders_Online!D:D)</f>
        <v>P001</v>
      </c>
      <c r="D23" t="str">
        <f>_xll.XLOOKUP(C23,[1]Products!$A:$A,[1]Products!$B:$B)</f>
        <v>Keyboard Mecha</v>
      </c>
    </row>
    <row r="24" spans="1:4" x14ac:dyDescent="0.25">
      <c r="A24" t="s">
        <v>158</v>
      </c>
      <c r="B24" t="s">
        <v>307</v>
      </c>
      <c r="C24" t="str">
        <f>_xll.XLOOKUP(A24,Orders_Online!B:B,Orders_Online!D:D)</f>
        <v>P003</v>
      </c>
      <c r="D24" t="str">
        <f>_xll.XLOOKUP(C24,[1]Products!$A:$A,[1]Products!$B:$B)</f>
        <v>Headset Gaming</v>
      </c>
    </row>
    <row r="25" spans="1:4" x14ac:dyDescent="0.25">
      <c r="A25" t="s">
        <v>148</v>
      </c>
      <c r="B25" t="s">
        <v>309</v>
      </c>
      <c r="C25" t="str">
        <f>_xll.XLOOKUP(A25,Orders_Online!B:B,Orders_Online!D:D)</f>
        <v>P001</v>
      </c>
      <c r="D25" t="str">
        <f>_xll.XLOOKUP(C25,[1]Products!$A:$A,[1]Products!$B:$B)</f>
        <v>Keyboard Mecha</v>
      </c>
    </row>
  </sheetData>
  <autoFilter ref="A1:D25" xr:uid="{4B79EB71-0AE7-4DFA-9307-74D38E71C121}"/>
  <mergeCells count="4">
    <mergeCell ref="H8:H9"/>
    <mergeCell ref="I8:I9"/>
    <mergeCell ref="J8:J9"/>
    <mergeCell ref="K8:N8"/>
  </mergeCells>
  <pageMargins left="0.7" right="0.7" top="0.75" bottom="0.75" header="0.3" footer="0.3"/>
  <pageSetup paperSize="9" orientation="portrait" horizontalDpi="4294967293" verticalDpi="0" r:id="rId1"/>
  <headerFooter>
    <oddFooter>&amp;C_x000D_&amp;1#&amp;"Calibri"&amp;10&amp;K000000 Mondelez International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5" x14ac:dyDescent="0.25"/>
  <cols>
    <col min="4" max="4" width="18.7109375" bestFit="1" customWidth="1"/>
  </cols>
  <sheetData>
    <row r="1" spans="1:4" x14ac:dyDescent="0.25">
      <c r="A1" s="1" t="s">
        <v>1</v>
      </c>
      <c r="B1" s="1" t="s">
        <v>310</v>
      </c>
      <c r="C1" s="1" t="s">
        <v>311</v>
      </c>
      <c r="D1" s="1" t="s">
        <v>312</v>
      </c>
    </row>
    <row r="2" spans="1:4" x14ac:dyDescent="0.25">
      <c r="A2" t="s">
        <v>66</v>
      </c>
      <c r="B2" t="s">
        <v>313</v>
      </c>
      <c r="C2">
        <v>110</v>
      </c>
      <c r="D2" s="4">
        <v>22000000</v>
      </c>
    </row>
    <row r="3" spans="1:4" x14ac:dyDescent="0.25">
      <c r="A3" t="s">
        <v>65</v>
      </c>
      <c r="B3" t="s">
        <v>313</v>
      </c>
      <c r="C3">
        <v>140</v>
      </c>
      <c r="D3" s="4">
        <v>28000000</v>
      </c>
    </row>
    <row r="4" spans="1:4" x14ac:dyDescent="0.25">
      <c r="A4" t="s">
        <v>64</v>
      </c>
      <c r="B4" t="s">
        <v>313</v>
      </c>
      <c r="C4">
        <v>90</v>
      </c>
      <c r="D4" s="4">
        <v>18000000</v>
      </c>
    </row>
    <row r="5" spans="1:4" x14ac:dyDescent="0.25">
      <c r="A5" t="s">
        <v>67</v>
      </c>
      <c r="B5" t="s">
        <v>313</v>
      </c>
      <c r="C5">
        <v>85</v>
      </c>
      <c r="D5" s="4">
        <v>16000000</v>
      </c>
    </row>
  </sheetData>
  <pageMargins left="0.7" right="0.7" top="0.75" bottom="0.75" header="0.3" footer="0.3"/>
  <headerFooter>
    <oddFooter>&amp;C_x000D_&amp;1#&amp;"Calibri"&amp;10&amp;K000000 Mondelez International Internal</oddFooter>
  </headerFooter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Sales_Offline</vt:lpstr>
      <vt:lpstr>Orders_Online</vt:lpstr>
      <vt:lpstr>Returns</vt:lpstr>
      <vt:lpstr>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yeni</cp:lastModifiedBy>
  <dcterms:created xsi:type="dcterms:W3CDTF">2025-09-04T15:28:54Z</dcterms:created>
  <dcterms:modified xsi:type="dcterms:W3CDTF">2025-09-10T08:40:05Z</dcterms:modified>
</cp:coreProperties>
</file>