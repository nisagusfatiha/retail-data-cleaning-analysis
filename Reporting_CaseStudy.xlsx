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eni\Downloads\CACA\EXCEL\ASSIGNMENT 1\"/>
    </mc:Choice>
  </mc:AlternateContent>
  <xr:revisionPtr revIDLastSave="0" documentId="13_ncr:1_{C5B7B76C-DE12-42C2-8876-E9388995867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Instruksi" sheetId="1" r:id="rId1"/>
    <sheet name="SALES_CALC" sheetId="2" r:id="rId2"/>
    <sheet name="ORDERS_CALC" sheetId="3" r:id="rId3"/>
    <sheet name="RINGKASAN_TOKO" sheetId="4" r:id="rId4"/>
    <sheet name="RINGKASAN_SKU" sheetId="5" r:id="rId5"/>
  </sheets>
  <externalReferences>
    <externalReference r:id="rId6"/>
    <externalReference r:id="rId7"/>
  </externalReferences>
  <calcPr calcId="191029"/>
  <extLst>
    <ext uri="GoogleSheetsCustomDataVersion2">
      <go:sheetsCustomData xmlns:go="http://customooxmlschemas.google.com/" r:id="rId9" roundtripDataChecksum="hbjWGqFg5+2VN2oVRUxQW9swc/9bCe+pVprRLYSLnus=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2" i="3"/>
  <c r="I3" i="2"/>
  <c r="I4" i="2"/>
  <c r="I5" i="2"/>
  <c r="I6" i="2"/>
  <c r="I7" i="2"/>
  <c r="I8" i="2"/>
  <c r="I9" i="2"/>
  <c r="I10" i="2"/>
  <c r="I11" i="2"/>
  <c r="I2" i="2"/>
  <c r="G3" i="2"/>
  <c r="G4" i="2"/>
  <c r="G5" i="2"/>
  <c r="G6" i="2"/>
  <c r="G7" i="2"/>
  <c r="G8" i="2"/>
  <c r="G9" i="2"/>
  <c r="G10" i="2"/>
  <c r="G11" i="2"/>
  <c r="G2" i="2"/>
  <c r="H2" i="3"/>
  <c r="B3" i="4" l="1"/>
  <c r="B4" i="4"/>
  <c r="B5" i="4"/>
  <c r="B2" i="4"/>
  <c r="H3" i="3"/>
  <c r="H7" i="3"/>
  <c r="H11" i="3"/>
  <c r="H6" i="3"/>
  <c r="H10" i="3"/>
  <c r="H5" i="3"/>
  <c r="H9" i="3"/>
  <c r="H4" i="3"/>
  <c r="H8" i="3"/>
  <c r="I2" i="3" l="1"/>
  <c r="I8" i="3"/>
  <c r="I4" i="3"/>
  <c r="I9" i="3"/>
  <c r="I5" i="3"/>
  <c r="I10" i="3"/>
  <c r="I6" i="3"/>
  <c r="I11" i="3"/>
  <c r="I7" i="3"/>
  <c r="I3" i="3"/>
  <c r="C3" i="4"/>
  <c r="C2" i="4"/>
  <c r="C5" i="4"/>
  <c r="C4" i="4"/>
  <c r="G9" i="3"/>
  <c r="G2" i="3"/>
  <c r="G8" i="3"/>
  <c r="G10" i="3"/>
  <c r="G4" i="3"/>
  <c r="G3" i="3"/>
  <c r="G6" i="3"/>
  <c r="G11" i="3"/>
  <c r="G5" i="3"/>
  <c r="G7" i="3"/>
  <c r="C3" i="5" l="1"/>
  <c r="C4" i="5"/>
  <c r="C5" i="5"/>
  <c r="C6" i="5"/>
  <c r="C7" i="5"/>
  <c r="C2" i="5"/>
  <c r="B3" i="5"/>
  <c r="B4" i="5"/>
  <c r="B5" i="5"/>
  <c r="B6" i="5"/>
  <c r="B7" i="5"/>
  <c r="B2" i="5"/>
  <c r="D2" i="5" l="1"/>
  <c r="E2" i="5" s="1"/>
  <c r="D6" i="5"/>
  <c r="E6" i="5" s="1"/>
  <c r="D4" i="5"/>
  <c r="E4" i="5" s="1"/>
  <c r="D7" i="5"/>
  <c r="E7" i="5" s="1"/>
  <c r="D5" i="5"/>
  <c r="E5" i="5" s="1"/>
  <c r="D3" i="5"/>
  <c r="E3" i="5" s="1"/>
  <c r="E3" i="4"/>
  <c r="F3" i="4" s="1"/>
  <c r="E4" i="4"/>
  <c r="F4" i="4" s="1"/>
  <c r="E5" i="4"/>
  <c r="F5" i="4" s="1"/>
  <c r="E2" i="4"/>
  <c r="F2" i="4" s="1"/>
  <c r="F3" i="3"/>
  <c r="F9" i="2"/>
  <c r="F5" i="2"/>
  <c r="F11" i="3"/>
  <c r="F8" i="2"/>
  <c r="F4" i="2"/>
  <c r="F10" i="3"/>
  <c r="F7" i="3"/>
  <c r="F2" i="2"/>
  <c r="F7" i="2"/>
  <c r="E7" i="2"/>
  <c r="E11" i="2"/>
  <c r="E6" i="2"/>
  <c r="E8" i="2"/>
  <c r="E4" i="2"/>
  <c r="F6" i="3"/>
  <c r="F5" i="3"/>
  <c r="F6" i="2"/>
  <c r="F3" i="2"/>
  <c r="F4" i="3"/>
  <c r="F9" i="3"/>
  <c r="F11" i="2"/>
  <c r="F2" i="3"/>
  <c r="F8" i="3"/>
  <c r="F10" i="2"/>
  <c r="E2" i="2"/>
  <c r="E9" i="2"/>
  <c r="E10" i="2"/>
  <c r="E5" i="2"/>
  <c r="E3" i="2"/>
  <c r="J8" i="3" l="1"/>
  <c r="J2" i="3"/>
  <c r="J9" i="3"/>
  <c r="J4" i="3"/>
  <c r="J5" i="3"/>
  <c r="J6" i="3"/>
  <c r="J7" i="3"/>
  <c r="J10" i="3"/>
  <c r="J11" i="3"/>
  <c r="J3" i="3"/>
  <c r="H4" i="2"/>
  <c r="H2" i="2"/>
  <c r="H11" i="2"/>
  <c r="H9" i="2"/>
  <c r="H6" i="2"/>
  <c r="H3" i="2"/>
  <c r="H10" i="2"/>
  <c r="H8" i="2"/>
  <c r="H5" i="2"/>
  <c r="H7" i="2"/>
</calcChain>
</file>

<file path=xl/sharedStrings.xml><?xml version="1.0" encoding="utf-8"?>
<sst xmlns="http://schemas.openxmlformats.org/spreadsheetml/2006/main" count="127" uniqueCount="83">
  <si>
    <t>Instruksi</t>
  </si>
  <si>
    <t>Letakkan ketiga file (MasterData.xlsx, Transactions.xlsx, Reporting_CaseStudy.xlsx) di folder yang sama.</t>
  </si>
  <si>
    <t>SALES_CALC:</t>
  </si>
  <si>
    <t xml:space="preserve">  - XLOOKUP HargaJual_IDR dengan 2 kriteria (StoreID+ProductID) ke MasterData.xlsx[PriceList].</t>
  </si>
  <si>
    <t xml:space="preserve">  - XLOOKUP NamaProduk dari MasterData.xlsx[Products].</t>
  </si>
  <si>
    <t xml:space="preserve">  - IF untuk ValidProduct dan Flag bila StoreID kosong atau ProductID tidak dikenal.</t>
  </si>
  <si>
    <t xml:space="preserve">  - Revenue = Qty * HargaJual_IDR.</t>
  </si>
  <si>
    <t>ORDERS_CALC:</t>
  </si>
  <si>
    <t xml:space="preserve">  - XLOOKUP Harga_IDR dan Tier (lookup ProductID dan CustID).</t>
  </si>
  <si>
    <t xml:space="preserve">  - XLOOKUP bertingkat Ongkir: CustID -&gt; Kota (Customers) -&gt; Ongkir (ShippingRates).</t>
  </si>
  <si>
    <t xml:space="preserve">  - IF Diskon_%: Gold 10%, Silver 5%, Bronze 0%. RevenueNet = Qty*Harga_IDR*(1-Diskon)+Ongkir.</t>
  </si>
  <si>
    <t>RINGKASAN:</t>
  </si>
  <si>
    <t xml:space="preserve">  - SUMIFS total Qty &amp; Revenue per Store dari Sales_Offline (Transactions.xlsx). Bandingkan dengan TargetQty.</t>
  </si>
  <si>
    <t xml:space="preserve">  - SUMIFS total Qty per ProductID dari Orders_Online (Transactions.xlsx). Hitung ReturnRate dari Returns.</t>
  </si>
  <si>
    <t xml:space="preserve">  - IFS untuk klasifikasi pencapaian (High/Mid/Low).</t>
  </si>
  <si>
    <t>Dikumpulkan paling lambat 13 September 2025 pukul 12.00 WIB. Kirim via email ke jalalstats@gmail.com</t>
  </si>
  <si>
    <t>Tanggal</t>
  </si>
  <si>
    <t>StoreID</t>
  </si>
  <si>
    <t>ProductID</t>
  </si>
  <si>
    <t>Qty</t>
  </si>
  <si>
    <t>HargaJual_IDR</t>
  </si>
  <si>
    <t>NamaProduk</t>
  </si>
  <si>
    <t>ValidProduct</t>
  </si>
  <si>
    <t>Revenue_IDR</t>
  </si>
  <si>
    <t>Flag</t>
  </si>
  <si>
    <t>04-07-2025</t>
  </si>
  <si>
    <t>S03</t>
  </si>
  <si>
    <t>P002</t>
  </si>
  <si>
    <t>23-08-2025</t>
  </si>
  <si>
    <t>S02</t>
  </si>
  <si>
    <t>P003</t>
  </si>
  <si>
    <t>21-07-2025</t>
  </si>
  <si>
    <t>S01</t>
  </si>
  <si>
    <t>14-07-2025</t>
  </si>
  <si>
    <t>S04</t>
  </si>
  <si>
    <t>P004</t>
  </si>
  <si>
    <t>30-08-2025</t>
  </si>
  <si>
    <t>P006</t>
  </si>
  <si>
    <t>29-07-2025</t>
  </si>
  <si>
    <t>03-07-2025</t>
  </si>
  <si>
    <t>17-07-2025</t>
  </si>
  <si>
    <t>P001</t>
  </si>
  <si>
    <t>04-08-2025</t>
  </si>
  <si>
    <t>29-08-2025</t>
  </si>
  <si>
    <t>OrderID</t>
  </si>
  <si>
    <t>CustID</t>
  </si>
  <si>
    <t>Harga_IDR</t>
  </si>
  <si>
    <t>Ongkir_IDR</t>
  </si>
  <si>
    <t>Tier</t>
  </si>
  <si>
    <t>Diskon_%</t>
  </si>
  <si>
    <t>RevenueNet_IDR</t>
  </si>
  <si>
    <t>22-07-2025</t>
  </si>
  <si>
    <t>O1000</t>
  </si>
  <si>
    <t>C02</t>
  </si>
  <si>
    <t>31-07-2025</t>
  </si>
  <si>
    <t>O1001</t>
  </si>
  <si>
    <t>C01</t>
  </si>
  <si>
    <t>20-07-2025</t>
  </si>
  <si>
    <t>O1002</t>
  </si>
  <si>
    <t>C03</t>
  </si>
  <si>
    <t>P005</t>
  </si>
  <si>
    <t>O1003</t>
  </si>
  <si>
    <t>C05</t>
  </si>
  <si>
    <t>O1004</t>
  </si>
  <si>
    <t>C04</t>
  </si>
  <si>
    <t>19-07-2025</t>
  </si>
  <si>
    <t>O1005</t>
  </si>
  <si>
    <t>C99</t>
  </si>
  <si>
    <t>O1006</t>
  </si>
  <si>
    <t>10-07-2025</t>
  </si>
  <si>
    <t>O1007</t>
  </si>
  <si>
    <t>17-08-2025</t>
  </si>
  <si>
    <t>O1008</t>
  </si>
  <si>
    <t>24-07-2025</t>
  </si>
  <si>
    <t>O1009</t>
  </si>
  <si>
    <t>TotalQty_Offline</t>
  </si>
  <si>
    <t>TotalRevenue_Offline</t>
  </si>
  <si>
    <t>TargetQty</t>
  </si>
  <si>
    <t>Ach_Qty_%</t>
  </si>
  <si>
    <t>Level</t>
  </si>
  <si>
    <t>TotalQty_Online</t>
  </si>
  <si>
    <t>ReturnCount</t>
  </si>
  <si>
    <t>ReturnRate_%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</si>
</sst>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0.0%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/>
    <xf numFmtId="3" fontId="0" fillId="0" borderId="0" xfId="0" applyNumberFormat="1" applyFont="1" applyAlignment="1"/>
    <xf numFmtId="3" fontId="1" fillId="0" borderId="1" xfId="0" applyNumberFormat="1" applyFont="1" applyBorder="1" applyAlignment="1">
      <alignment horizontal="center" vertical="top"/>
    </xf>
    <xf numFmtId="42" fontId="0" fillId="0" borderId="0" xfId="0" applyNumberFormat="1" applyFont="1" applyAlignment="1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"/>
      <sheetName val="Stores"/>
      <sheetName val="Customers"/>
      <sheetName val="ShippingRates"/>
      <sheetName val="PriceList"/>
    </sheetNames>
    <sheetDataSet>
      <sheetData sheetId="0">
        <row r="1">
          <cell r="A1" t="str">
            <v>ProductID</v>
          </cell>
          <cell r="B1" t="str">
            <v>NamaProduk</v>
          </cell>
          <cell r="D1" t="str">
            <v>HargaDasar_IDR</v>
          </cell>
        </row>
        <row r="2">
          <cell r="A2" t="str">
            <v>P001</v>
          </cell>
          <cell r="B2" t="str">
            <v>Keyboard Mecha</v>
          </cell>
          <cell r="D2">
            <v>450000</v>
          </cell>
        </row>
        <row r="3">
          <cell r="A3" t="str">
            <v>P002</v>
          </cell>
          <cell r="B3" t="str">
            <v>Mouse Wireless</v>
          </cell>
          <cell r="D3">
            <v>185000</v>
          </cell>
        </row>
        <row r="4">
          <cell r="A4" t="str">
            <v>P003</v>
          </cell>
          <cell r="B4" t="str">
            <v>Headset Gaming</v>
          </cell>
          <cell r="D4">
            <v>520000</v>
          </cell>
        </row>
        <row r="5">
          <cell r="A5" t="str">
            <v>P004</v>
          </cell>
          <cell r="B5" t="str">
            <v>Webcam HD</v>
          </cell>
          <cell r="D5">
            <v>310000</v>
          </cell>
        </row>
        <row r="6">
          <cell r="A6" t="str">
            <v>P005</v>
          </cell>
          <cell r="B6" t="str">
            <v>USB-C Hub</v>
          </cell>
          <cell r="D6">
            <v>215000</v>
          </cell>
        </row>
        <row r="7">
          <cell r="A7" t="str">
            <v>P006</v>
          </cell>
          <cell r="B7" t="str">
            <v>Mousepad XXL</v>
          </cell>
          <cell r="D7">
            <v>95000</v>
          </cell>
        </row>
      </sheetData>
      <sheetData sheetId="1">
        <row r="1">
          <cell r="A1" t="str">
            <v>StoreID</v>
          </cell>
        </row>
        <row r="2">
          <cell r="A2" t="str">
            <v>S01</v>
          </cell>
        </row>
        <row r="3">
          <cell r="A3" t="str">
            <v>S02</v>
          </cell>
        </row>
        <row r="4">
          <cell r="A4" t="str">
            <v>S03</v>
          </cell>
        </row>
        <row r="5">
          <cell r="A5" t="str">
            <v>S04</v>
          </cell>
        </row>
      </sheetData>
      <sheetData sheetId="2">
        <row r="1">
          <cell r="A1" t="str">
            <v>CustID</v>
          </cell>
          <cell r="D1" t="str">
            <v>Tier</v>
          </cell>
          <cell r="E1" t="str">
            <v>Ongkir</v>
          </cell>
        </row>
        <row r="2">
          <cell r="A2" t="str">
            <v>C01</v>
          </cell>
          <cell r="D2" t="str">
            <v>Gold</v>
          </cell>
          <cell r="E2">
            <v>15000</v>
          </cell>
        </row>
        <row r="3">
          <cell r="A3" t="str">
            <v>C02</v>
          </cell>
          <cell r="D3" t="str">
            <v>Silver</v>
          </cell>
          <cell r="E3">
            <v>20000</v>
          </cell>
        </row>
        <row r="4">
          <cell r="A4" t="str">
            <v>C03</v>
          </cell>
          <cell r="D4" t="str">
            <v>Bronze</v>
          </cell>
          <cell r="E4">
            <v>25000</v>
          </cell>
        </row>
        <row r="5">
          <cell r="A5" t="str">
            <v>C04</v>
          </cell>
          <cell r="D5" t="str">
            <v>Gold</v>
          </cell>
          <cell r="E5">
            <v>22000</v>
          </cell>
        </row>
        <row r="6">
          <cell r="A6" t="str">
            <v>C05</v>
          </cell>
          <cell r="D6" t="str">
            <v>Silver</v>
          </cell>
          <cell r="E6">
            <v>24000</v>
          </cell>
        </row>
      </sheetData>
      <sheetData sheetId="3"/>
      <sheetData sheetId="4">
        <row r="1">
          <cell r="C1" t="str">
            <v>HargaJual_IDR</v>
          </cell>
          <cell r="D1" t="str">
            <v>Criteria</v>
          </cell>
        </row>
        <row r="2">
          <cell r="C2">
            <v>442673</v>
          </cell>
          <cell r="D2" t="str">
            <v>S01P001</v>
          </cell>
        </row>
        <row r="3">
          <cell r="C3">
            <v>200061</v>
          </cell>
          <cell r="D3" t="str">
            <v>S01P002</v>
          </cell>
        </row>
        <row r="4">
          <cell r="C4">
            <v>524199</v>
          </cell>
          <cell r="D4" t="str">
            <v>S01P003</v>
          </cell>
        </row>
        <row r="5">
          <cell r="C5">
            <v>335496</v>
          </cell>
          <cell r="D5" t="str">
            <v>S01P004</v>
          </cell>
        </row>
        <row r="6">
          <cell r="C6">
            <v>218017</v>
          </cell>
          <cell r="D6" t="str">
            <v>S01P005</v>
          </cell>
        </row>
        <row r="7">
          <cell r="C7">
            <v>110059</v>
          </cell>
          <cell r="D7" t="str">
            <v>S01P006</v>
          </cell>
        </row>
        <row r="8">
          <cell r="C8">
            <v>434372</v>
          </cell>
          <cell r="D8" t="str">
            <v>S02P001</v>
          </cell>
        </row>
        <row r="9">
          <cell r="C9">
            <v>170201</v>
          </cell>
          <cell r="D9" t="str">
            <v>S02P002</v>
          </cell>
        </row>
        <row r="10">
          <cell r="C10">
            <v>532597</v>
          </cell>
          <cell r="D10" t="str">
            <v>S02P003</v>
          </cell>
        </row>
        <row r="11">
          <cell r="C11">
            <v>302904</v>
          </cell>
          <cell r="D11" t="str">
            <v>S02P004</v>
          </cell>
        </row>
        <row r="12">
          <cell r="C12">
            <v>232909</v>
          </cell>
          <cell r="D12" t="str">
            <v>S02P005</v>
          </cell>
        </row>
        <row r="13">
          <cell r="C13">
            <v>86241</v>
          </cell>
          <cell r="D13" t="str">
            <v>S02P006</v>
          </cell>
        </row>
        <row r="14">
          <cell r="C14">
            <v>468002</v>
          </cell>
          <cell r="D14" t="str">
            <v>S03P001</v>
          </cell>
        </row>
        <row r="15">
          <cell r="C15">
            <v>169224</v>
          </cell>
          <cell r="D15" t="str">
            <v>S03P002</v>
          </cell>
        </row>
        <row r="16">
          <cell r="C16">
            <v>504289</v>
          </cell>
          <cell r="D16" t="str">
            <v>S03P003</v>
          </cell>
        </row>
        <row r="17">
          <cell r="C17">
            <v>316210</v>
          </cell>
          <cell r="D17" t="str">
            <v>S03P004</v>
          </cell>
        </row>
        <row r="18">
          <cell r="C18">
            <v>218712</v>
          </cell>
          <cell r="D18" t="str">
            <v>S03P005</v>
          </cell>
        </row>
        <row r="19">
          <cell r="C19">
            <v>80742</v>
          </cell>
          <cell r="D19" t="str">
            <v>S03P006</v>
          </cell>
        </row>
        <row r="20">
          <cell r="C20">
            <v>473548</v>
          </cell>
          <cell r="D20" t="str">
            <v>S04P001</v>
          </cell>
        </row>
        <row r="21">
          <cell r="C21">
            <v>207475</v>
          </cell>
          <cell r="D21" t="str">
            <v>S04P002</v>
          </cell>
        </row>
        <row r="22">
          <cell r="C22">
            <v>533416</v>
          </cell>
          <cell r="D22" t="str">
            <v>S04P003</v>
          </cell>
        </row>
        <row r="23">
          <cell r="C23">
            <v>338604</v>
          </cell>
          <cell r="D23" t="str">
            <v>S04P004</v>
          </cell>
        </row>
        <row r="24">
          <cell r="C24">
            <v>239391</v>
          </cell>
          <cell r="D24" t="str">
            <v>S04P005</v>
          </cell>
        </row>
        <row r="25">
          <cell r="C25">
            <v>121595</v>
          </cell>
          <cell r="D25" t="str">
            <v>S04P006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_Offline"/>
      <sheetName val="Orders_Online"/>
      <sheetName val="Returns"/>
      <sheetName val="Targets"/>
    </sheetNames>
    <sheetDataSet>
      <sheetData sheetId="0">
        <row r="1">
          <cell r="A1" t="str">
            <v>Tanggal</v>
          </cell>
          <cell r="B1" t="str">
            <v>StoreID</v>
          </cell>
          <cell r="D1" t="str">
            <v>Qty</v>
          </cell>
          <cell r="F1" t="str">
            <v>TotalRevenue_Offline</v>
          </cell>
        </row>
        <row r="2">
          <cell r="A2">
            <v>45842</v>
          </cell>
          <cell r="B2" t="str">
            <v>S03</v>
          </cell>
          <cell r="D2">
            <v>4</v>
          </cell>
          <cell r="F2">
            <v>676896</v>
          </cell>
        </row>
        <row r="3">
          <cell r="A3">
            <v>45892</v>
          </cell>
          <cell r="B3" t="str">
            <v>S02</v>
          </cell>
          <cell r="D3">
            <v>2</v>
          </cell>
          <cell r="F3">
            <v>1065194</v>
          </cell>
        </row>
        <row r="4">
          <cell r="A4">
            <v>45859</v>
          </cell>
          <cell r="B4" t="str">
            <v>S01</v>
          </cell>
          <cell r="D4">
            <v>5</v>
          </cell>
          <cell r="F4">
            <v>2620995</v>
          </cell>
        </row>
        <row r="5">
          <cell r="A5">
            <v>45852</v>
          </cell>
          <cell r="B5" t="str">
            <v>S04</v>
          </cell>
          <cell r="D5">
            <v>4</v>
          </cell>
          <cell r="F5">
            <v>1354416</v>
          </cell>
        </row>
        <row r="6">
          <cell r="A6">
            <v>45899</v>
          </cell>
          <cell r="B6" t="str">
            <v>S02</v>
          </cell>
          <cell r="D6">
            <v>1</v>
          </cell>
          <cell r="F6">
            <v>86241</v>
          </cell>
        </row>
        <row r="7">
          <cell r="A7">
            <v>45867</v>
          </cell>
          <cell r="B7" t="str">
            <v>S03</v>
          </cell>
          <cell r="D7">
            <v>5</v>
          </cell>
          <cell r="F7">
            <v>846120</v>
          </cell>
        </row>
        <row r="8">
          <cell r="A8">
            <v>45841</v>
          </cell>
          <cell r="B8" t="str">
            <v>S01</v>
          </cell>
          <cell r="D8">
            <v>5</v>
          </cell>
          <cell r="F8">
            <v>2620995</v>
          </cell>
        </row>
        <row r="9">
          <cell r="A9">
            <v>45840</v>
          </cell>
          <cell r="B9" t="str">
            <v>S02</v>
          </cell>
          <cell r="D9">
            <v>3</v>
          </cell>
          <cell r="F9">
            <v>1303116</v>
          </cell>
        </row>
        <row r="10">
          <cell r="A10">
            <v>45873</v>
          </cell>
          <cell r="B10" t="str">
            <v>S04</v>
          </cell>
          <cell r="D10">
            <v>1</v>
          </cell>
          <cell r="F10">
            <v>473548</v>
          </cell>
        </row>
        <row r="11">
          <cell r="A11">
            <v>45898</v>
          </cell>
          <cell r="B11" t="str">
            <v>S01</v>
          </cell>
          <cell r="D11">
            <v>2</v>
          </cell>
          <cell r="F11">
            <v>1048398</v>
          </cell>
        </row>
        <row r="12">
          <cell r="A12">
            <v>45884</v>
          </cell>
          <cell r="B12" t="str">
            <v>S01</v>
          </cell>
          <cell r="D12">
            <v>1</v>
          </cell>
          <cell r="F12">
            <v>110059</v>
          </cell>
        </row>
        <row r="13">
          <cell r="A13">
            <v>45859</v>
          </cell>
          <cell r="B13" t="str">
            <v>S04</v>
          </cell>
          <cell r="D13">
            <v>2</v>
          </cell>
          <cell r="F13">
            <v>414950</v>
          </cell>
        </row>
        <row r="14">
          <cell r="A14">
            <v>45840</v>
          </cell>
          <cell r="B14" t="str">
            <v>S02</v>
          </cell>
          <cell r="D14">
            <v>2</v>
          </cell>
          <cell r="F14">
            <v>465818</v>
          </cell>
        </row>
        <row r="15">
          <cell r="A15">
            <v>45883</v>
          </cell>
          <cell r="B15" t="str">
            <v>S01</v>
          </cell>
          <cell r="D15">
            <v>5</v>
          </cell>
          <cell r="F15">
            <v>1090085</v>
          </cell>
        </row>
        <row r="16">
          <cell r="A16">
            <v>45841</v>
          </cell>
          <cell r="B16" t="str">
            <v>S02</v>
          </cell>
          <cell r="D16">
            <v>3</v>
          </cell>
          <cell r="F16">
            <v>698727</v>
          </cell>
        </row>
        <row r="17">
          <cell r="A17">
            <v>45879</v>
          </cell>
          <cell r="B17" t="str">
            <v>S01</v>
          </cell>
          <cell r="D17">
            <v>4</v>
          </cell>
          <cell r="F17">
            <v>2096796</v>
          </cell>
        </row>
        <row r="18">
          <cell r="A18">
            <v>45841</v>
          </cell>
          <cell r="B18" t="str">
            <v>S02</v>
          </cell>
          <cell r="D18">
            <v>1</v>
          </cell>
          <cell r="F18">
            <v>232909</v>
          </cell>
        </row>
        <row r="19">
          <cell r="A19">
            <v>45900</v>
          </cell>
          <cell r="B19" t="str">
            <v>S02</v>
          </cell>
          <cell r="D19">
            <v>4</v>
          </cell>
          <cell r="F19">
            <v>344964</v>
          </cell>
        </row>
        <row r="20">
          <cell r="A20">
            <v>45842</v>
          </cell>
          <cell r="B20" t="str">
            <v>S02</v>
          </cell>
          <cell r="D20">
            <v>2</v>
          </cell>
          <cell r="F20">
            <v>868744</v>
          </cell>
        </row>
        <row r="21">
          <cell r="A21">
            <v>45870</v>
          </cell>
          <cell r="B21" t="str">
            <v>S01</v>
          </cell>
          <cell r="D21">
            <v>5</v>
          </cell>
          <cell r="F21">
            <v>1090085</v>
          </cell>
        </row>
        <row r="22">
          <cell r="A22">
            <v>45894</v>
          </cell>
          <cell r="B22" t="str">
            <v>S02</v>
          </cell>
          <cell r="D22">
            <v>5</v>
          </cell>
          <cell r="F22">
            <v>1164545</v>
          </cell>
        </row>
        <row r="23">
          <cell r="A23">
            <v>45877</v>
          </cell>
          <cell r="B23" t="str">
            <v>S01</v>
          </cell>
          <cell r="D23">
            <v>1</v>
          </cell>
          <cell r="F23">
            <v>218017</v>
          </cell>
        </row>
        <row r="24">
          <cell r="A24">
            <v>45861</v>
          </cell>
          <cell r="B24" t="str">
            <v>S04</v>
          </cell>
          <cell r="D24">
            <v>3</v>
          </cell>
          <cell r="F24">
            <v>0</v>
          </cell>
        </row>
        <row r="25">
          <cell r="A25">
            <v>45841</v>
          </cell>
          <cell r="B25" t="str">
            <v>S04</v>
          </cell>
          <cell r="D25">
            <v>4</v>
          </cell>
          <cell r="F25">
            <v>957564</v>
          </cell>
        </row>
        <row r="26">
          <cell r="A26">
            <v>45842</v>
          </cell>
          <cell r="B26" t="str">
            <v>S02</v>
          </cell>
          <cell r="D26">
            <v>2</v>
          </cell>
          <cell r="F26">
            <v>172482</v>
          </cell>
        </row>
        <row r="27">
          <cell r="A27">
            <v>45856</v>
          </cell>
          <cell r="B27" t="str">
            <v>S04</v>
          </cell>
          <cell r="D27">
            <v>4</v>
          </cell>
          <cell r="F27">
            <v>1894192</v>
          </cell>
        </row>
        <row r="28">
          <cell r="A28">
            <v>45843</v>
          </cell>
          <cell r="B28" t="str">
            <v>S02</v>
          </cell>
          <cell r="D28">
            <v>2</v>
          </cell>
          <cell r="F28">
            <v>605808</v>
          </cell>
        </row>
        <row r="29">
          <cell r="A29">
            <v>45877</v>
          </cell>
          <cell r="B29" t="str">
            <v>S03</v>
          </cell>
          <cell r="D29">
            <v>3</v>
          </cell>
          <cell r="F29">
            <v>948630</v>
          </cell>
        </row>
        <row r="30">
          <cell r="A30">
            <v>45874</v>
          </cell>
          <cell r="B30" t="str">
            <v>S02</v>
          </cell>
          <cell r="D30">
            <v>3</v>
          </cell>
          <cell r="F30">
            <v>908712</v>
          </cell>
        </row>
        <row r="31">
          <cell r="A31">
            <v>45853</v>
          </cell>
          <cell r="B31" t="str">
            <v>S04</v>
          </cell>
          <cell r="D31">
            <v>5</v>
          </cell>
          <cell r="F31">
            <v>0</v>
          </cell>
        </row>
        <row r="32">
          <cell r="A32">
            <v>45892</v>
          </cell>
          <cell r="B32" t="str">
            <v>S01</v>
          </cell>
          <cell r="D32">
            <v>4</v>
          </cell>
          <cell r="F32">
            <v>800244</v>
          </cell>
        </row>
        <row r="33">
          <cell r="A33">
            <v>45878</v>
          </cell>
          <cell r="B33" t="str">
            <v>S01</v>
          </cell>
          <cell r="D33">
            <v>2</v>
          </cell>
          <cell r="F33">
            <v>0</v>
          </cell>
        </row>
        <row r="34">
          <cell r="A34">
            <v>45887</v>
          </cell>
          <cell r="B34" t="str">
            <v>S02</v>
          </cell>
          <cell r="D34">
            <v>5</v>
          </cell>
          <cell r="F34">
            <v>2171860</v>
          </cell>
        </row>
        <row r="35">
          <cell r="A35">
            <v>45887</v>
          </cell>
          <cell r="B35" t="str">
            <v>S01</v>
          </cell>
          <cell r="D35">
            <v>2</v>
          </cell>
          <cell r="F35">
            <v>1048398</v>
          </cell>
        </row>
        <row r="36">
          <cell r="A36">
            <v>45885</v>
          </cell>
          <cell r="D36">
            <v>3</v>
          </cell>
          <cell r="F36">
            <v>0</v>
          </cell>
        </row>
        <row r="37">
          <cell r="A37">
            <v>45843</v>
          </cell>
          <cell r="B37" t="str">
            <v>S02</v>
          </cell>
          <cell r="D37">
            <v>1</v>
          </cell>
          <cell r="F37">
            <v>0</v>
          </cell>
        </row>
        <row r="38">
          <cell r="A38">
            <v>45854</v>
          </cell>
          <cell r="B38" t="str">
            <v>S01</v>
          </cell>
          <cell r="D38">
            <v>2</v>
          </cell>
          <cell r="F38">
            <v>0</v>
          </cell>
        </row>
        <row r="39">
          <cell r="A39">
            <v>45878</v>
          </cell>
          <cell r="B39" t="str">
            <v>S04</v>
          </cell>
          <cell r="D39">
            <v>1</v>
          </cell>
          <cell r="F39">
            <v>338604</v>
          </cell>
        </row>
        <row r="40">
          <cell r="A40">
            <v>45865</v>
          </cell>
          <cell r="B40" t="str">
            <v>S03</v>
          </cell>
          <cell r="D40">
            <v>5</v>
          </cell>
          <cell r="F40">
            <v>2340010</v>
          </cell>
        </row>
        <row r="41">
          <cell r="A41">
            <v>45850</v>
          </cell>
          <cell r="B41" t="str">
            <v>S01</v>
          </cell>
          <cell r="D41">
            <v>1</v>
          </cell>
          <cell r="F41">
            <v>218017</v>
          </cell>
        </row>
        <row r="42">
          <cell r="A42">
            <v>45896</v>
          </cell>
          <cell r="B42" t="str">
            <v>S01</v>
          </cell>
          <cell r="D42">
            <v>1</v>
          </cell>
          <cell r="F42">
            <v>524199</v>
          </cell>
        </row>
        <row r="43">
          <cell r="A43">
            <v>45847</v>
          </cell>
          <cell r="D43">
            <v>1</v>
          </cell>
          <cell r="F43">
            <v>0</v>
          </cell>
        </row>
        <row r="44">
          <cell r="A44">
            <v>45861</v>
          </cell>
          <cell r="B44" t="str">
            <v>S04</v>
          </cell>
          <cell r="D44">
            <v>4</v>
          </cell>
          <cell r="F44">
            <v>0</v>
          </cell>
        </row>
        <row r="45">
          <cell r="A45">
            <v>45846</v>
          </cell>
          <cell r="B45" t="str">
            <v>S04</v>
          </cell>
          <cell r="D45">
            <v>1</v>
          </cell>
          <cell r="F45">
            <v>121595</v>
          </cell>
        </row>
        <row r="46">
          <cell r="A46">
            <v>45881</v>
          </cell>
          <cell r="B46" t="str">
            <v>S02</v>
          </cell>
          <cell r="D46">
            <v>3</v>
          </cell>
          <cell r="F46">
            <v>258723</v>
          </cell>
        </row>
        <row r="47">
          <cell r="A47">
            <v>45897</v>
          </cell>
          <cell r="D47">
            <v>1</v>
          </cell>
          <cell r="F47">
            <v>0</v>
          </cell>
        </row>
        <row r="48">
          <cell r="A48">
            <v>45886</v>
          </cell>
          <cell r="B48" t="str">
            <v>S03</v>
          </cell>
          <cell r="D48">
            <v>5</v>
          </cell>
          <cell r="F48">
            <v>1093560</v>
          </cell>
        </row>
        <row r="49">
          <cell r="A49">
            <v>45844</v>
          </cell>
          <cell r="B49" t="str">
            <v>S01</v>
          </cell>
          <cell r="D49">
            <v>4</v>
          </cell>
          <cell r="F49">
            <v>1770692</v>
          </cell>
        </row>
        <row r="50">
          <cell r="A50">
            <v>45876</v>
          </cell>
          <cell r="B50" t="str">
            <v>S03</v>
          </cell>
          <cell r="D50">
            <v>4</v>
          </cell>
          <cell r="F50">
            <v>676896</v>
          </cell>
        </row>
        <row r="51">
          <cell r="A51">
            <v>45860</v>
          </cell>
          <cell r="B51" t="str">
            <v>S04</v>
          </cell>
          <cell r="D51">
            <v>5</v>
          </cell>
          <cell r="F51">
            <v>607975</v>
          </cell>
        </row>
        <row r="52">
          <cell r="A52">
            <v>45849</v>
          </cell>
          <cell r="B52" t="str">
            <v>S04</v>
          </cell>
          <cell r="D52">
            <v>1</v>
          </cell>
          <cell r="F52">
            <v>533416</v>
          </cell>
        </row>
        <row r="53">
          <cell r="A53">
            <v>45856</v>
          </cell>
          <cell r="B53" t="str">
            <v>S04</v>
          </cell>
          <cell r="D53">
            <v>5</v>
          </cell>
          <cell r="F53">
            <v>1196955</v>
          </cell>
        </row>
        <row r="54">
          <cell r="A54">
            <v>45895</v>
          </cell>
          <cell r="B54" t="str">
            <v>S03</v>
          </cell>
          <cell r="D54">
            <v>3</v>
          </cell>
          <cell r="F54">
            <v>948630</v>
          </cell>
        </row>
        <row r="55">
          <cell r="A55">
            <v>45890</v>
          </cell>
          <cell r="D55">
            <v>3</v>
          </cell>
          <cell r="F55">
            <v>0</v>
          </cell>
        </row>
        <row r="56">
          <cell r="A56">
            <v>45898</v>
          </cell>
          <cell r="B56" t="str">
            <v>S04</v>
          </cell>
          <cell r="D56">
            <v>5</v>
          </cell>
          <cell r="F56">
            <v>1196955</v>
          </cell>
        </row>
        <row r="57">
          <cell r="A57">
            <v>45843</v>
          </cell>
          <cell r="B57" t="str">
            <v>S02</v>
          </cell>
          <cell r="D57">
            <v>2</v>
          </cell>
          <cell r="F57">
            <v>340402</v>
          </cell>
        </row>
        <row r="58">
          <cell r="A58">
            <v>45890</v>
          </cell>
          <cell r="B58" t="str">
            <v>S02</v>
          </cell>
          <cell r="D58">
            <v>3</v>
          </cell>
          <cell r="F58">
            <v>510603</v>
          </cell>
        </row>
        <row r="59">
          <cell r="A59">
            <v>45852</v>
          </cell>
          <cell r="B59" t="str">
            <v>S01</v>
          </cell>
          <cell r="D59">
            <v>5</v>
          </cell>
          <cell r="F59">
            <v>550295</v>
          </cell>
        </row>
        <row r="60">
          <cell r="A60">
            <v>45844</v>
          </cell>
          <cell r="B60" t="str">
            <v>S02</v>
          </cell>
          <cell r="D60">
            <v>5</v>
          </cell>
          <cell r="F60">
            <v>1164545</v>
          </cell>
        </row>
        <row r="61">
          <cell r="A61">
            <v>45873</v>
          </cell>
          <cell r="B61" t="str">
            <v>S03</v>
          </cell>
          <cell r="D61">
            <v>3</v>
          </cell>
          <cell r="F61">
            <v>1512867</v>
          </cell>
        </row>
        <row r="62">
          <cell r="A62">
            <v>45864</v>
          </cell>
          <cell r="B62" t="str">
            <v>S04</v>
          </cell>
          <cell r="D62">
            <v>4</v>
          </cell>
          <cell r="F62">
            <v>957564</v>
          </cell>
        </row>
        <row r="63">
          <cell r="A63">
            <v>45850</v>
          </cell>
          <cell r="B63" t="str">
            <v>S04</v>
          </cell>
          <cell r="D63">
            <v>1</v>
          </cell>
          <cell r="F63">
            <v>207475</v>
          </cell>
        </row>
        <row r="64">
          <cell r="A64">
            <v>45845</v>
          </cell>
          <cell r="B64" t="str">
            <v>S02</v>
          </cell>
          <cell r="D64">
            <v>1</v>
          </cell>
          <cell r="F64">
            <v>170201</v>
          </cell>
        </row>
        <row r="65">
          <cell r="A65">
            <v>45875</v>
          </cell>
          <cell r="B65" t="str">
            <v>S03</v>
          </cell>
          <cell r="D65">
            <v>3</v>
          </cell>
          <cell r="F65">
            <v>656136</v>
          </cell>
        </row>
        <row r="66">
          <cell r="A66">
            <v>45871</v>
          </cell>
          <cell r="B66" t="str">
            <v>S03</v>
          </cell>
          <cell r="D66">
            <v>4</v>
          </cell>
          <cell r="F66">
            <v>1264840</v>
          </cell>
        </row>
        <row r="67">
          <cell r="A67">
            <v>45850</v>
          </cell>
          <cell r="B67" t="str">
            <v>S03</v>
          </cell>
          <cell r="D67">
            <v>3</v>
          </cell>
          <cell r="F67">
            <v>242226</v>
          </cell>
        </row>
        <row r="68">
          <cell r="A68">
            <v>45896</v>
          </cell>
          <cell r="B68" t="str">
            <v>S02</v>
          </cell>
          <cell r="D68">
            <v>1</v>
          </cell>
          <cell r="F68">
            <v>170201</v>
          </cell>
        </row>
        <row r="69">
          <cell r="A69">
            <v>45898</v>
          </cell>
          <cell r="B69" t="str">
            <v>S02</v>
          </cell>
          <cell r="D69">
            <v>2</v>
          </cell>
          <cell r="F69">
            <v>1065194</v>
          </cell>
        </row>
        <row r="70">
          <cell r="A70">
            <v>45894</v>
          </cell>
          <cell r="B70" t="str">
            <v>S04</v>
          </cell>
          <cell r="D70">
            <v>2</v>
          </cell>
          <cell r="F70">
            <v>414950</v>
          </cell>
        </row>
        <row r="71">
          <cell r="A71">
            <v>45892</v>
          </cell>
          <cell r="B71" t="str">
            <v>S02</v>
          </cell>
          <cell r="D71">
            <v>4</v>
          </cell>
          <cell r="F71">
            <v>680804</v>
          </cell>
        </row>
        <row r="72">
          <cell r="A72">
            <v>45853</v>
          </cell>
          <cell r="B72" t="str">
            <v>S04</v>
          </cell>
          <cell r="D72">
            <v>3</v>
          </cell>
          <cell r="F72">
            <v>622425</v>
          </cell>
        </row>
        <row r="73">
          <cell r="A73">
            <v>45854</v>
          </cell>
          <cell r="B73" t="str">
            <v>S01</v>
          </cell>
          <cell r="D73">
            <v>5</v>
          </cell>
          <cell r="F73">
            <v>1090085</v>
          </cell>
        </row>
        <row r="74">
          <cell r="A74">
            <v>45867</v>
          </cell>
          <cell r="B74" t="str">
            <v>S04</v>
          </cell>
          <cell r="D74">
            <v>4</v>
          </cell>
          <cell r="F74">
            <v>1354416</v>
          </cell>
        </row>
        <row r="75">
          <cell r="A75">
            <v>45885</v>
          </cell>
          <cell r="B75" t="str">
            <v>S02</v>
          </cell>
          <cell r="D75">
            <v>3</v>
          </cell>
          <cell r="F75">
            <v>258723</v>
          </cell>
        </row>
        <row r="76">
          <cell r="A76">
            <v>45867</v>
          </cell>
          <cell r="B76" t="str">
            <v>S01</v>
          </cell>
          <cell r="D76">
            <v>4</v>
          </cell>
          <cell r="F76">
            <v>1341984</v>
          </cell>
        </row>
        <row r="77">
          <cell r="A77">
            <v>45881</v>
          </cell>
          <cell r="B77" t="str">
            <v>S04</v>
          </cell>
          <cell r="D77">
            <v>3</v>
          </cell>
          <cell r="F77">
            <v>622425</v>
          </cell>
        </row>
        <row r="78">
          <cell r="A78">
            <v>45886</v>
          </cell>
          <cell r="B78" t="str">
            <v>S04</v>
          </cell>
          <cell r="D78">
            <v>2</v>
          </cell>
          <cell r="F78">
            <v>0</v>
          </cell>
        </row>
        <row r="79">
          <cell r="A79">
            <v>45865</v>
          </cell>
          <cell r="B79" t="str">
            <v>S04</v>
          </cell>
          <cell r="D79">
            <v>1</v>
          </cell>
          <cell r="F79">
            <v>473548</v>
          </cell>
        </row>
        <row r="80">
          <cell r="A80">
            <v>45855</v>
          </cell>
          <cell r="B80" t="str">
            <v>S04</v>
          </cell>
          <cell r="D80">
            <v>2</v>
          </cell>
          <cell r="F80">
            <v>478782</v>
          </cell>
        </row>
        <row r="81">
          <cell r="A81">
            <v>45895</v>
          </cell>
          <cell r="B81" t="str">
            <v>S03</v>
          </cell>
          <cell r="D81">
            <v>1</v>
          </cell>
          <cell r="F81">
            <v>504289</v>
          </cell>
        </row>
        <row r="82">
          <cell r="A82">
            <v>45848</v>
          </cell>
          <cell r="B82" t="str">
            <v>S02</v>
          </cell>
          <cell r="D82">
            <v>4</v>
          </cell>
          <cell r="F82">
            <v>0</v>
          </cell>
        </row>
        <row r="83">
          <cell r="A83">
            <v>45848</v>
          </cell>
          <cell r="B83" t="str">
            <v>S02</v>
          </cell>
          <cell r="D83">
            <v>1</v>
          </cell>
          <cell r="F83">
            <v>170201</v>
          </cell>
        </row>
        <row r="84">
          <cell r="A84">
            <v>45850</v>
          </cell>
          <cell r="B84" t="str">
            <v>S04</v>
          </cell>
          <cell r="D84">
            <v>3</v>
          </cell>
          <cell r="F84">
            <v>364785</v>
          </cell>
        </row>
        <row r="85">
          <cell r="A85">
            <v>45848</v>
          </cell>
          <cell r="B85" t="str">
            <v>S02</v>
          </cell>
          <cell r="D85">
            <v>5</v>
          </cell>
          <cell r="F85">
            <v>2662985</v>
          </cell>
        </row>
        <row r="86">
          <cell r="A86">
            <v>45888</v>
          </cell>
          <cell r="B86" t="str">
            <v>S02</v>
          </cell>
          <cell r="D86">
            <v>3</v>
          </cell>
          <cell r="F86">
            <v>1597791</v>
          </cell>
        </row>
        <row r="87">
          <cell r="A87">
            <v>45891</v>
          </cell>
          <cell r="B87" t="str">
            <v>S04</v>
          </cell>
          <cell r="D87">
            <v>4</v>
          </cell>
          <cell r="F87">
            <v>957564</v>
          </cell>
        </row>
        <row r="88">
          <cell r="A88">
            <v>45858</v>
          </cell>
          <cell r="B88" t="str">
            <v>S04</v>
          </cell>
          <cell r="D88">
            <v>3</v>
          </cell>
          <cell r="F88">
            <v>1015812</v>
          </cell>
        </row>
        <row r="89">
          <cell r="A89">
            <v>45853</v>
          </cell>
          <cell r="B89" t="str">
            <v>S01</v>
          </cell>
          <cell r="D89">
            <v>1</v>
          </cell>
          <cell r="F89">
            <v>110059</v>
          </cell>
        </row>
        <row r="90">
          <cell r="A90">
            <v>45890</v>
          </cell>
          <cell r="B90" t="str">
            <v>S01</v>
          </cell>
          <cell r="D90">
            <v>1</v>
          </cell>
          <cell r="F90">
            <v>335496</v>
          </cell>
        </row>
        <row r="91">
          <cell r="A91">
            <v>45856</v>
          </cell>
          <cell r="B91" t="str">
            <v>S01</v>
          </cell>
          <cell r="D91">
            <v>5</v>
          </cell>
          <cell r="F91">
            <v>550295</v>
          </cell>
        </row>
        <row r="92">
          <cell r="A92">
            <v>45857</v>
          </cell>
          <cell r="B92" t="str">
            <v>S01</v>
          </cell>
          <cell r="D92">
            <v>1</v>
          </cell>
          <cell r="F92">
            <v>524199</v>
          </cell>
        </row>
        <row r="93">
          <cell r="A93">
            <v>45882</v>
          </cell>
          <cell r="B93" t="str">
            <v>S04</v>
          </cell>
          <cell r="D93">
            <v>4</v>
          </cell>
          <cell r="F93">
            <v>1894192</v>
          </cell>
        </row>
        <row r="94">
          <cell r="A94">
            <v>45883</v>
          </cell>
          <cell r="B94" t="str">
            <v>S02</v>
          </cell>
          <cell r="D94">
            <v>2</v>
          </cell>
          <cell r="F94">
            <v>340402</v>
          </cell>
        </row>
        <row r="95">
          <cell r="A95">
            <v>45899</v>
          </cell>
          <cell r="B95" t="str">
            <v>S04</v>
          </cell>
          <cell r="D95">
            <v>1</v>
          </cell>
          <cell r="F95">
            <v>0</v>
          </cell>
        </row>
        <row r="96">
          <cell r="A96">
            <v>45884</v>
          </cell>
          <cell r="B96" t="str">
            <v>S02</v>
          </cell>
          <cell r="D96">
            <v>1</v>
          </cell>
          <cell r="F96">
            <v>86241</v>
          </cell>
        </row>
        <row r="97">
          <cell r="A97">
            <v>45887</v>
          </cell>
          <cell r="B97" t="str">
            <v>S04</v>
          </cell>
          <cell r="D97">
            <v>1</v>
          </cell>
          <cell r="F97">
            <v>533416</v>
          </cell>
        </row>
        <row r="98">
          <cell r="A98">
            <v>45851</v>
          </cell>
          <cell r="B98" t="str">
            <v>S02</v>
          </cell>
          <cell r="D98">
            <v>2</v>
          </cell>
          <cell r="F98">
            <v>172482</v>
          </cell>
        </row>
        <row r="99">
          <cell r="A99">
            <v>45851</v>
          </cell>
          <cell r="B99" t="str">
            <v>S02</v>
          </cell>
          <cell r="D99">
            <v>2</v>
          </cell>
          <cell r="F99">
            <v>1065194</v>
          </cell>
        </row>
        <row r="100">
          <cell r="A100">
            <v>45847</v>
          </cell>
          <cell r="B100" t="str">
            <v>S01</v>
          </cell>
          <cell r="D100">
            <v>2</v>
          </cell>
          <cell r="F100">
            <v>220118</v>
          </cell>
        </row>
        <row r="101">
          <cell r="A101">
            <v>45880</v>
          </cell>
          <cell r="B101" t="str">
            <v>S02</v>
          </cell>
          <cell r="D101">
            <v>2</v>
          </cell>
          <cell r="F101">
            <v>605808</v>
          </cell>
        </row>
        <row r="102">
          <cell r="A102">
            <v>45856</v>
          </cell>
          <cell r="B102" t="str">
            <v>S04</v>
          </cell>
          <cell r="D102">
            <v>5</v>
          </cell>
          <cell r="F102">
            <v>2667080</v>
          </cell>
        </row>
        <row r="103">
          <cell r="A103">
            <v>45890</v>
          </cell>
          <cell r="B103" t="str">
            <v>S01</v>
          </cell>
          <cell r="D103">
            <v>1</v>
          </cell>
          <cell r="F103">
            <v>110059</v>
          </cell>
        </row>
        <row r="104">
          <cell r="A104">
            <v>45860</v>
          </cell>
          <cell r="B104" t="str">
            <v>S03</v>
          </cell>
          <cell r="D104">
            <v>3</v>
          </cell>
          <cell r="F104">
            <v>1404006</v>
          </cell>
        </row>
        <row r="105">
          <cell r="A105">
            <v>45847</v>
          </cell>
          <cell r="B105" t="str">
            <v>S04</v>
          </cell>
          <cell r="D105">
            <v>3</v>
          </cell>
          <cell r="F105">
            <v>364785</v>
          </cell>
        </row>
        <row r="106">
          <cell r="A106">
            <v>45895</v>
          </cell>
          <cell r="B106" t="str">
            <v>S02</v>
          </cell>
          <cell r="D106">
            <v>5</v>
          </cell>
          <cell r="F106">
            <v>2662985</v>
          </cell>
        </row>
        <row r="107">
          <cell r="A107">
            <v>45856</v>
          </cell>
          <cell r="B107" t="str">
            <v>S01</v>
          </cell>
          <cell r="D107">
            <v>4</v>
          </cell>
          <cell r="F107">
            <v>800244</v>
          </cell>
        </row>
        <row r="108">
          <cell r="A108">
            <v>45885</v>
          </cell>
          <cell r="B108" t="str">
            <v>S04</v>
          </cell>
          <cell r="D108">
            <v>3</v>
          </cell>
          <cell r="F108">
            <v>0</v>
          </cell>
        </row>
        <row r="109">
          <cell r="A109">
            <v>45839</v>
          </cell>
          <cell r="B109" t="str">
            <v>S04</v>
          </cell>
          <cell r="D109">
            <v>2</v>
          </cell>
          <cell r="F109">
            <v>414950</v>
          </cell>
        </row>
        <row r="110">
          <cell r="A110">
            <v>45875</v>
          </cell>
          <cell r="B110" t="str">
            <v>S02</v>
          </cell>
          <cell r="D110">
            <v>4</v>
          </cell>
          <cell r="F110">
            <v>0</v>
          </cell>
        </row>
        <row r="111">
          <cell r="A111">
            <v>45899</v>
          </cell>
          <cell r="B111" t="str">
            <v>S01</v>
          </cell>
          <cell r="D111">
            <v>2</v>
          </cell>
          <cell r="F111">
            <v>1048398</v>
          </cell>
        </row>
        <row r="112">
          <cell r="A112">
            <v>45845</v>
          </cell>
          <cell r="B112" t="str">
            <v>S01</v>
          </cell>
          <cell r="D112">
            <v>4</v>
          </cell>
          <cell r="F112">
            <v>872068</v>
          </cell>
        </row>
        <row r="113">
          <cell r="A113">
            <v>45873</v>
          </cell>
          <cell r="B113" t="str">
            <v>S01</v>
          </cell>
          <cell r="D113">
            <v>1</v>
          </cell>
          <cell r="F113">
            <v>524199</v>
          </cell>
        </row>
        <row r="114">
          <cell r="A114">
            <v>45864</v>
          </cell>
          <cell r="B114" t="str">
            <v>S01</v>
          </cell>
          <cell r="D114">
            <v>4</v>
          </cell>
          <cell r="F114">
            <v>800244</v>
          </cell>
        </row>
        <row r="115">
          <cell r="A115">
            <v>45853</v>
          </cell>
          <cell r="B115" t="str">
            <v>S04</v>
          </cell>
          <cell r="D115">
            <v>5</v>
          </cell>
          <cell r="F115">
            <v>1037375</v>
          </cell>
        </row>
        <row r="116">
          <cell r="A116">
            <v>45894</v>
          </cell>
          <cell r="B116" t="str">
            <v>S02</v>
          </cell>
          <cell r="D116">
            <v>5</v>
          </cell>
          <cell r="F116">
            <v>2171860</v>
          </cell>
        </row>
        <row r="117">
          <cell r="A117">
            <v>45844</v>
          </cell>
          <cell r="B117" t="str">
            <v>S03</v>
          </cell>
          <cell r="D117">
            <v>1</v>
          </cell>
          <cell r="F117">
            <v>218712</v>
          </cell>
        </row>
        <row r="118">
          <cell r="A118">
            <v>45842</v>
          </cell>
          <cell r="B118" t="str">
            <v>S03</v>
          </cell>
          <cell r="D118">
            <v>1</v>
          </cell>
          <cell r="F118">
            <v>80742</v>
          </cell>
        </row>
        <row r="119">
          <cell r="A119">
            <v>45844</v>
          </cell>
          <cell r="B119" t="str">
            <v>S03</v>
          </cell>
          <cell r="D119">
            <v>3</v>
          </cell>
          <cell r="F119">
            <v>1512867</v>
          </cell>
        </row>
        <row r="120">
          <cell r="A120">
            <v>45845</v>
          </cell>
          <cell r="B120" t="str">
            <v>S04</v>
          </cell>
          <cell r="D120">
            <v>2</v>
          </cell>
          <cell r="F120">
            <v>947096</v>
          </cell>
        </row>
        <row r="121">
          <cell r="A121">
            <v>45848</v>
          </cell>
          <cell r="B121" t="str">
            <v>S03</v>
          </cell>
          <cell r="D121">
            <v>4</v>
          </cell>
          <cell r="F121">
            <v>676896</v>
          </cell>
        </row>
        <row r="122">
          <cell r="A122">
            <v>45884</v>
          </cell>
          <cell r="B122" t="str">
            <v>S02</v>
          </cell>
          <cell r="D122">
            <v>3</v>
          </cell>
          <cell r="F122">
            <v>1597791</v>
          </cell>
        </row>
        <row r="123">
          <cell r="A123">
            <v>45867</v>
          </cell>
          <cell r="B123" t="str">
            <v>S01</v>
          </cell>
          <cell r="D123">
            <v>5</v>
          </cell>
          <cell r="F123">
            <v>0</v>
          </cell>
        </row>
        <row r="124">
          <cell r="A124">
            <v>45843</v>
          </cell>
          <cell r="B124" t="str">
            <v>S04</v>
          </cell>
          <cell r="D124">
            <v>2</v>
          </cell>
          <cell r="F124">
            <v>414950</v>
          </cell>
        </row>
        <row r="125">
          <cell r="A125">
            <v>45877</v>
          </cell>
          <cell r="B125" t="str">
            <v>S02</v>
          </cell>
          <cell r="D125">
            <v>1</v>
          </cell>
          <cell r="F125">
            <v>0</v>
          </cell>
        </row>
        <row r="126">
          <cell r="A126">
            <v>45883</v>
          </cell>
          <cell r="B126" t="str">
            <v>S04</v>
          </cell>
          <cell r="D126">
            <v>2</v>
          </cell>
          <cell r="F126">
            <v>414950</v>
          </cell>
        </row>
        <row r="127">
          <cell r="A127">
            <v>45887</v>
          </cell>
          <cell r="D127">
            <v>1</v>
          </cell>
          <cell r="F127">
            <v>0</v>
          </cell>
        </row>
        <row r="128">
          <cell r="A128">
            <v>45852</v>
          </cell>
          <cell r="B128" t="str">
            <v>S02</v>
          </cell>
          <cell r="D128">
            <v>2</v>
          </cell>
          <cell r="F128">
            <v>465818</v>
          </cell>
        </row>
        <row r="129">
          <cell r="A129">
            <v>45844</v>
          </cell>
          <cell r="B129" t="str">
            <v>S03</v>
          </cell>
          <cell r="D129">
            <v>2</v>
          </cell>
          <cell r="F129">
            <v>161484</v>
          </cell>
        </row>
        <row r="130">
          <cell r="A130">
            <v>45867</v>
          </cell>
          <cell r="B130" t="str">
            <v>S01</v>
          </cell>
          <cell r="D130">
            <v>5</v>
          </cell>
          <cell r="F130">
            <v>1090085</v>
          </cell>
        </row>
        <row r="131">
          <cell r="A131">
            <v>45899</v>
          </cell>
          <cell r="B131" t="str">
            <v>S04</v>
          </cell>
          <cell r="D131">
            <v>2</v>
          </cell>
          <cell r="F131">
            <v>243190</v>
          </cell>
        </row>
        <row r="132">
          <cell r="A132">
            <v>45871</v>
          </cell>
          <cell r="B132" t="str">
            <v>S02</v>
          </cell>
          <cell r="D132">
            <v>5</v>
          </cell>
          <cell r="F132">
            <v>431205</v>
          </cell>
        </row>
        <row r="133">
          <cell r="A133">
            <v>45886</v>
          </cell>
          <cell r="B133" t="str">
            <v>S03</v>
          </cell>
          <cell r="D133">
            <v>5</v>
          </cell>
          <cell r="F133">
            <v>2340010</v>
          </cell>
        </row>
        <row r="134">
          <cell r="A134">
            <v>45879</v>
          </cell>
          <cell r="B134" t="str">
            <v>S03</v>
          </cell>
          <cell r="D134">
            <v>5</v>
          </cell>
          <cell r="F134">
            <v>2521445</v>
          </cell>
        </row>
        <row r="135">
          <cell r="A135">
            <v>45894</v>
          </cell>
          <cell r="B135" t="str">
            <v>S01</v>
          </cell>
          <cell r="D135">
            <v>1</v>
          </cell>
          <cell r="F135">
            <v>524199</v>
          </cell>
        </row>
        <row r="136">
          <cell r="A136">
            <v>45894</v>
          </cell>
          <cell r="B136" t="str">
            <v>S04</v>
          </cell>
          <cell r="D136">
            <v>1</v>
          </cell>
          <cell r="F136">
            <v>473548</v>
          </cell>
        </row>
        <row r="137">
          <cell r="A137">
            <v>45890</v>
          </cell>
          <cell r="B137" t="str">
            <v>S04</v>
          </cell>
          <cell r="D137">
            <v>3</v>
          </cell>
          <cell r="F137">
            <v>364785</v>
          </cell>
        </row>
        <row r="138">
          <cell r="A138">
            <v>45861</v>
          </cell>
          <cell r="B138" t="str">
            <v>S03</v>
          </cell>
          <cell r="D138">
            <v>5</v>
          </cell>
          <cell r="F138">
            <v>2521445</v>
          </cell>
        </row>
        <row r="139">
          <cell r="A139">
            <v>45878</v>
          </cell>
          <cell r="B139" t="str">
            <v>S03</v>
          </cell>
          <cell r="D139">
            <v>1</v>
          </cell>
          <cell r="F139">
            <v>504289</v>
          </cell>
        </row>
        <row r="140">
          <cell r="A140">
            <v>45887</v>
          </cell>
          <cell r="B140" t="str">
            <v>S01</v>
          </cell>
          <cell r="D140">
            <v>1</v>
          </cell>
          <cell r="F140">
            <v>335496</v>
          </cell>
        </row>
        <row r="141">
          <cell r="A141">
            <v>45890</v>
          </cell>
          <cell r="B141" t="str">
            <v>S01</v>
          </cell>
          <cell r="D141">
            <v>4</v>
          </cell>
          <cell r="F141">
            <v>872068</v>
          </cell>
        </row>
        <row r="142">
          <cell r="A142">
            <v>45877</v>
          </cell>
          <cell r="B142" t="str">
            <v>S02</v>
          </cell>
          <cell r="D142">
            <v>1</v>
          </cell>
          <cell r="F142">
            <v>232909</v>
          </cell>
        </row>
        <row r="143">
          <cell r="A143">
            <v>45852</v>
          </cell>
          <cell r="B143" t="str">
            <v>S02</v>
          </cell>
          <cell r="D143">
            <v>5</v>
          </cell>
          <cell r="F143">
            <v>2662985</v>
          </cell>
        </row>
        <row r="144">
          <cell r="A144">
            <v>45893</v>
          </cell>
          <cell r="B144" t="str">
            <v>S03</v>
          </cell>
          <cell r="D144">
            <v>1</v>
          </cell>
          <cell r="F144">
            <v>504289</v>
          </cell>
        </row>
        <row r="145">
          <cell r="A145">
            <v>45874</v>
          </cell>
          <cell r="B145" t="str">
            <v>S02</v>
          </cell>
          <cell r="D145">
            <v>4</v>
          </cell>
          <cell r="F145">
            <v>344964</v>
          </cell>
        </row>
        <row r="146">
          <cell r="A146">
            <v>45879</v>
          </cell>
          <cell r="B146" t="str">
            <v>S01</v>
          </cell>
          <cell r="D146">
            <v>5</v>
          </cell>
          <cell r="F146">
            <v>2620995</v>
          </cell>
        </row>
        <row r="147">
          <cell r="A147">
            <v>45893</v>
          </cell>
          <cell r="B147" t="str">
            <v>S01</v>
          </cell>
          <cell r="D147">
            <v>1</v>
          </cell>
          <cell r="F147">
            <v>524199</v>
          </cell>
        </row>
        <row r="148">
          <cell r="A148">
            <v>45843</v>
          </cell>
          <cell r="B148" t="str">
            <v>S03</v>
          </cell>
          <cell r="D148">
            <v>1</v>
          </cell>
          <cell r="F148">
            <v>504289</v>
          </cell>
        </row>
        <row r="149">
          <cell r="A149">
            <v>45888</v>
          </cell>
          <cell r="B149" t="str">
            <v>S02</v>
          </cell>
          <cell r="D149">
            <v>4</v>
          </cell>
          <cell r="F149">
            <v>2130388</v>
          </cell>
        </row>
        <row r="150">
          <cell r="A150">
            <v>45900</v>
          </cell>
          <cell r="B150" t="str">
            <v>S04</v>
          </cell>
          <cell r="D150">
            <v>1</v>
          </cell>
          <cell r="F150">
            <v>533416</v>
          </cell>
        </row>
        <row r="151">
          <cell r="A151">
            <v>45853</v>
          </cell>
          <cell r="B151" t="str">
            <v>S02</v>
          </cell>
          <cell r="D151">
            <v>3</v>
          </cell>
          <cell r="F151">
            <v>1303116</v>
          </cell>
        </row>
        <row r="152">
          <cell r="A152">
            <v>45871</v>
          </cell>
          <cell r="B152" t="str">
            <v>S04</v>
          </cell>
          <cell r="D152">
            <v>1</v>
          </cell>
          <cell r="F152">
            <v>473548</v>
          </cell>
        </row>
        <row r="153">
          <cell r="A153">
            <v>45899</v>
          </cell>
          <cell r="B153" t="str">
            <v>S04</v>
          </cell>
          <cell r="D153">
            <v>5</v>
          </cell>
          <cell r="F153">
            <v>1037375</v>
          </cell>
        </row>
        <row r="154">
          <cell r="A154">
            <v>45852</v>
          </cell>
          <cell r="B154" t="str">
            <v>S04</v>
          </cell>
          <cell r="D154">
            <v>3</v>
          </cell>
          <cell r="F154">
            <v>1600248</v>
          </cell>
        </row>
        <row r="155">
          <cell r="A155">
            <v>45872</v>
          </cell>
          <cell r="B155" t="str">
            <v>S03</v>
          </cell>
          <cell r="D155">
            <v>5</v>
          </cell>
          <cell r="F155">
            <v>2340010</v>
          </cell>
        </row>
        <row r="156">
          <cell r="A156">
            <v>45876</v>
          </cell>
          <cell r="B156" t="str">
            <v>S01</v>
          </cell>
          <cell r="D156">
            <v>5</v>
          </cell>
          <cell r="F156">
            <v>2213365</v>
          </cell>
        </row>
        <row r="157">
          <cell r="A157">
            <v>45849</v>
          </cell>
          <cell r="B157" t="str">
            <v>S04</v>
          </cell>
          <cell r="D157">
            <v>3</v>
          </cell>
          <cell r="F157">
            <v>1015812</v>
          </cell>
        </row>
        <row r="158">
          <cell r="A158">
            <v>45844</v>
          </cell>
          <cell r="B158" t="str">
            <v>S04</v>
          </cell>
          <cell r="D158">
            <v>4</v>
          </cell>
          <cell r="F158">
            <v>829900</v>
          </cell>
        </row>
        <row r="159">
          <cell r="A159">
            <v>45893</v>
          </cell>
          <cell r="B159" t="str">
            <v>S03</v>
          </cell>
          <cell r="D159">
            <v>2</v>
          </cell>
          <cell r="F159">
            <v>338448</v>
          </cell>
        </row>
        <row r="160">
          <cell r="A160">
            <v>45879</v>
          </cell>
          <cell r="B160" t="str">
            <v>S03</v>
          </cell>
          <cell r="D160">
            <v>3</v>
          </cell>
          <cell r="F160">
            <v>1404006</v>
          </cell>
        </row>
        <row r="161">
          <cell r="A161">
            <v>45881</v>
          </cell>
          <cell r="B161" t="str">
            <v>S03</v>
          </cell>
          <cell r="D161">
            <v>3</v>
          </cell>
          <cell r="F161">
            <v>242226</v>
          </cell>
        </row>
        <row r="162">
          <cell r="A162">
            <v>45843</v>
          </cell>
          <cell r="B162" t="str">
            <v>S03</v>
          </cell>
          <cell r="D162">
            <v>5</v>
          </cell>
          <cell r="F162">
            <v>1093560</v>
          </cell>
        </row>
        <row r="163">
          <cell r="A163">
            <v>45885</v>
          </cell>
          <cell r="B163" t="str">
            <v>S04</v>
          </cell>
          <cell r="D163">
            <v>5</v>
          </cell>
          <cell r="F163">
            <v>2367740</v>
          </cell>
        </row>
        <row r="164">
          <cell r="A164">
            <v>45888</v>
          </cell>
          <cell r="B164" t="str">
            <v>S04</v>
          </cell>
          <cell r="D164">
            <v>2</v>
          </cell>
          <cell r="F164">
            <v>947096</v>
          </cell>
        </row>
        <row r="165">
          <cell r="A165">
            <v>45876</v>
          </cell>
          <cell r="B165" t="str">
            <v>S04</v>
          </cell>
          <cell r="D165">
            <v>2</v>
          </cell>
          <cell r="F165">
            <v>414950</v>
          </cell>
        </row>
        <row r="166">
          <cell r="A166">
            <v>45871</v>
          </cell>
          <cell r="B166" t="str">
            <v>S03</v>
          </cell>
          <cell r="D166">
            <v>1</v>
          </cell>
          <cell r="F166">
            <v>316210</v>
          </cell>
        </row>
        <row r="167">
          <cell r="A167">
            <v>45878</v>
          </cell>
          <cell r="B167" t="str">
            <v>S01</v>
          </cell>
          <cell r="D167">
            <v>2</v>
          </cell>
          <cell r="F167">
            <v>220118</v>
          </cell>
        </row>
        <row r="168">
          <cell r="A168">
            <v>45846</v>
          </cell>
          <cell r="B168" t="str">
            <v>S04</v>
          </cell>
          <cell r="D168">
            <v>1</v>
          </cell>
          <cell r="F168">
            <v>207475</v>
          </cell>
        </row>
        <row r="169">
          <cell r="A169">
            <v>45857</v>
          </cell>
          <cell r="B169" t="str">
            <v>S03</v>
          </cell>
          <cell r="D169">
            <v>1</v>
          </cell>
          <cell r="F169">
            <v>468002</v>
          </cell>
        </row>
        <row r="170">
          <cell r="A170">
            <v>45894</v>
          </cell>
          <cell r="D170">
            <v>4</v>
          </cell>
          <cell r="F170">
            <v>0</v>
          </cell>
        </row>
        <row r="171">
          <cell r="A171">
            <v>45841</v>
          </cell>
          <cell r="B171" t="str">
            <v>S03</v>
          </cell>
          <cell r="D171">
            <v>4</v>
          </cell>
          <cell r="F171">
            <v>1264840</v>
          </cell>
        </row>
        <row r="172">
          <cell r="A172">
            <v>45881</v>
          </cell>
          <cell r="B172" t="str">
            <v>S03</v>
          </cell>
          <cell r="D172">
            <v>1</v>
          </cell>
          <cell r="F172">
            <v>169224</v>
          </cell>
        </row>
        <row r="173">
          <cell r="A173">
            <v>45897</v>
          </cell>
          <cell r="B173" t="str">
            <v>S04</v>
          </cell>
          <cell r="D173">
            <v>4</v>
          </cell>
          <cell r="F173">
            <v>2133664</v>
          </cell>
        </row>
        <row r="174">
          <cell r="A174">
            <v>45842</v>
          </cell>
          <cell r="B174" t="str">
            <v>S04</v>
          </cell>
          <cell r="D174">
            <v>3</v>
          </cell>
          <cell r="F174">
            <v>0</v>
          </cell>
        </row>
        <row r="175">
          <cell r="A175">
            <v>45842</v>
          </cell>
          <cell r="B175" t="str">
            <v>S04</v>
          </cell>
          <cell r="D175">
            <v>3</v>
          </cell>
          <cell r="F175">
            <v>1015812</v>
          </cell>
        </row>
        <row r="176">
          <cell r="A176">
            <v>45843</v>
          </cell>
          <cell r="B176" t="str">
            <v>S03</v>
          </cell>
          <cell r="D176">
            <v>1</v>
          </cell>
          <cell r="F176">
            <v>504289</v>
          </cell>
        </row>
        <row r="177">
          <cell r="A177">
            <v>45846</v>
          </cell>
          <cell r="B177" t="str">
            <v>S01</v>
          </cell>
          <cell r="D177">
            <v>2</v>
          </cell>
          <cell r="F177">
            <v>670992</v>
          </cell>
        </row>
        <row r="178">
          <cell r="A178">
            <v>45863</v>
          </cell>
          <cell r="B178" t="str">
            <v>S01</v>
          </cell>
          <cell r="D178">
            <v>1</v>
          </cell>
          <cell r="F178">
            <v>524199</v>
          </cell>
        </row>
        <row r="179">
          <cell r="A179">
            <v>45892</v>
          </cell>
          <cell r="B179" t="str">
            <v>S02</v>
          </cell>
          <cell r="D179">
            <v>3</v>
          </cell>
          <cell r="F179">
            <v>258723</v>
          </cell>
        </row>
        <row r="180">
          <cell r="A180">
            <v>45900</v>
          </cell>
          <cell r="B180" t="str">
            <v>S02</v>
          </cell>
          <cell r="D180">
            <v>3</v>
          </cell>
          <cell r="F180">
            <v>510603</v>
          </cell>
        </row>
        <row r="181">
          <cell r="A181">
            <v>45878</v>
          </cell>
          <cell r="B181" t="str">
            <v>S04</v>
          </cell>
          <cell r="D181">
            <v>3</v>
          </cell>
          <cell r="F181">
            <v>718173</v>
          </cell>
        </row>
        <row r="182">
          <cell r="A182">
            <v>45889</v>
          </cell>
          <cell r="B182" t="str">
            <v>S01</v>
          </cell>
          <cell r="D182">
            <v>5</v>
          </cell>
          <cell r="F182">
            <v>2213365</v>
          </cell>
        </row>
        <row r="183">
          <cell r="A183">
            <v>45865</v>
          </cell>
          <cell r="B183" t="str">
            <v>S03</v>
          </cell>
          <cell r="D183">
            <v>5</v>
          </cell>
          <cell r="F183">
            <v>2340010</v>
          </cell>
        </row>
        <row r="184">
          <cell r="A184">
            <v>45857</v>
          </cell>
          <cell r="B184" t="str">
            <v>S01</v>
          </cell>
          <cell r="D184">
            <v>4</v>
          </cell>
          <cell r="F184">
            <v>800244</v>
          </cell>
        </row>
        <row r="185">
          <cell r="A185">
            <v>45846</v>
          </cell>
          <cell r="B185" t="str">
            <v>S01</v>
          </cell>
          <cell r="D185">
            <v>4</v>
          </cell>
          <cell r="F185">
            <v>440236</v>
          </cell>
        </row>
        <row r="186">
          <cell r="A186">
            <v>45889</v>
          </cell>
          <cell r="B186" t="str">
            <v>S02</v>
          </cell>
          <cell r="D186">
            <v>4</v>
          </cell>
          <cell r="F186">
            <v>344964</v>
          </cell>
        </row>
        <row r="187">
          <cell r="A187">
            <v>45853</v>
          </cell>
          <cell r="B187" t="str">
            <v>S02</v>
          </cell>
          <cell r="D187">
            <v>3</v>
          </cell>
          <cell r="F187">
            <v>1303116</v>
          </cell>
        </row>
        <row r="188">
          <cell r="A188">
            <v>45855</v>
          </cell>
          <cell r="B188" t="str">
            <v>S02</v>
          </cell>
          <cell r="D188">
            <v>2</v>
          </cell>
          <cell r="F188">
            <v>868744</v>
          </cell>
        </row>
        <row r="189">
          <cell r="A189">
            <v>45891</v>
          </cell>
          <cell r="B189" t="str">
            <v>S02</v>
          </cell>
          <cell r="D189">
            <v>5</v>
          </cell>
          <cell r="F189">
            <v>851005</v>
          </cell>
        </row>
        <row r="190">
          <cell r="A190">
            <v>45872</v>
          </cell>
          <cell r="B190" t="str">
            <v>S02</v>
          </cell>
          <cell r="D190">
            <v>3</v>
          </cell>
          <cell r="F190">
            <v>510603</v>
          </cell>
        </row>
        <row r="191">
          <cell r="A191">
            <v>45855</v>
          </cell>
          <cell r="B191" t="str">
            <v>S02</v>
          </cell>
          <cell r="D191">
            <v>1</v>
          </cell>
          <cell r="F191">
            <v>86241</v>
          </cell>
        </row>
        <row r="192">
          <cell r="A192">
            <v>45840</v>
          </cell>
          <cell r="B192" t="str">
            <v>S04</v>
          </cell>
          <cell r="D192">
            <v>2</v>
          </cell>
          <cell r="F192">
            <v>677208</v>
          </cell>
        </row>
        <row r="193">
          <cell r="A193">
            <v>45856</v>
          </cell>
          <cell r="B193" t="str">
            <v>S03</v>
          </cell>
          <cell r="D193">
            <v>1</v>
          </cell>
          <cell r="F193">
            <v>468002</v>
          </cell>
        </row>
        <row r="194">
          <cell r="A194">
            <v>45855</v>
          </cell>
          <cell r="B194" t="str">
            <v>S02</v>
          </cell>
          <cell r="D194">
            <v>1</v>
          </cell>
          <cell r="F194">
            <v>302904</v>
          </cell>
        </row>
        <row r="195">
          <cell r="A195">
            <v>45872</v>
          </cell>
          <cell r="B195" t="str">
            <v>S03</v>
          </cell>
          <cell r="D195">
            <v>3</v>
          </cell>
          <cell r="F195">
            <v>1512867</v>
          </cell>
        </row>
        <row r="196">
          <cell r="A196">
            <v>45863</v>
          </cell>
          <cell r="B196" t="str">
            <v>S03</v>
          </cell>
          <cell r="D196">
            <v>2</v>
          </cell>
          <cell r="F196">
            <v>1008578</v>
          </cell>
        </row>
        <row r="197">
          <cell r="A197">
            <v>45882</v>
          </cell>
          <cell r="D197">
            <v>5</v>
          </cell>
          <cell r="F197">
            <v>0</v>
          </cell>
        </row>
        <row r="198">
          <cell r="A198">
            <v>45888</v>
          </cell>
          <cell r="B198" t="str">
            <v>S02</v>
          </cell>
          <cell r="D198">
            <v>4</v>
          </cell>
          <cell r="F198">
            <v>1211616</v>
          </cell>
        </row>
        <row r="199">
          <cell r="A199">
            <v>45883</v>
          </cell>
          <cell r="B199" t="str">
            <v>S04</v>
          </cell>
          <cell r="D199">
            <v>4</v>
          </cell>
          <cell r="F199">
            <v>1894192</v>
          </cell>
        </row>
        <row r="200">
          <cell r="A200">
            <v>45874</v>
          </cell>
          <cell r="B200" t="str">
            <v>S01</v>
          </cell>
          <cell r="D200">
            <v>4</v>
          </cell>
          <cell r="F200">
            <v>2096796</v>
          </cell>
        </row>
        <row r="201">
          <cell r="A201">
            <v>45889</v>
          </cell>
          <cell r="B201" t="str">
            <v>S01</v>
          </cell>
          <cell r="D201">
            <v>3</v>
          </cell>
          <cell r="F201">
            <v>1006488</v>
          </cell>
        </row>
        <row r="202">
          <cell r="A202">
            <v>45857</v>
          </cell>
          <cell r="B202" t="str">
            <v>S04</v>
          </cell>
          <cell r="D202">
            <v>5</v>
          </cell>
          <cell r="F202">
            <v>2667080</v>
          </cell>
        </row>
        <row r="203">
          <cell r="A203">
            <v>45859</v>
          </cell>
          <cell r="B203" t="str">
            <v>S04</v>
          </cell>
          <cell r="D203">
            <v>4</v>
          </cell>
          <cell r="F203">
            <v>0</v>
          </cell>
        </row>
        <row r="204">
          <cell r="A204">
            <v>45853</v>
          </cell>
          <cell r="B204" t="str">
            <v>S04</v>
          </cell>
          <cell r="D204">
            <v>1</v>
          </cell>
          <cell r="F204">
            <v>473548</v>
          </cell>
        </row>
        <row r="205">
          <cell r="A205">
            <v>45889</v>
          </cell>
          <cell r="B205" t="str">
            <v>S03</v>
          </cell>
          <cell r="D205">
            <v>3</v>
          </cell>
          <cell r="F205">
            <v>1404006</v>
          </cell>
        </row>
        <row r="206">
          <cell r="A206">
            <v>45856</v>
          </cell>
          <cell r="B206" t="str">
            <v>S02</v>
          </cell>
          <cell r="D206">
            <v>2</v>
          </cell>
          <cell r="F206">
            <v>340402</v>
          </cell>
        </row>
        <row r="207">
          <cell r="A207">
            <v>45865</v>
          </cell>
          <cell r="B207" t="str">
            <v>S03</v>
          </cell>
          <cell r="D207">
            <v>1</v>
          </cell>
          <cell r="F207">
            <v>504289</v>
          </cell>
        </row>
        <row r="208">
          <cell r="A208">
            <v>45857</v>
          </cell>
          <cell r="B208" t="str">
            <v>S02</v>
          </cell>
          <cell r="D208">
            <v>1</v>
          </cell>
          <cell r="F208">
            <v>0</v>
          </cell>
        </row>
        <row r="209">
          <cell r="A209">
            <v>45878</v>
          </cell>
          <cell r="B209" t="str">
            <v>S04</v>
          </cell>
          <cell r="D209">
            <v>4</v>
          </cell>
          <cell r="F209">
            <v>2133664</v>
          </cell>
        </row>
        <row r="210">
          <cell r="A210">
            <v>45884</v>
          </cell>
          <cell r="B210" t="str">
            <v>S03</v>
          </cell>
          <cell r="D210">
            <v>3</v>
          </cell>
          <cell r="F210">
            <v>656136</v>
          </cell>
        </row>
        <row r="211">
          <cell r="A211">
            <v>45877</v>
          </cell>
          <cell r="B211" t="str">
            <v>S04</v>
          </cell>
          <cell r="D211">
            <v>2</v>
          </cell>
          <cell r="F211">
            <v>414950</v>
          </cell>
        </row>
        <row r="212">
          <cell r="A212">
            <v>45845</v>
          </cell>
          <cell r="B212" t="str">
            <v>S03</v>
          </cell>
          <cell r="D212">
            <v>4</v>
          </cell>
          <cell r="F212">
            <v>322968</v>
          </cell>
        </row>
        <row r="213">
          <cell r="A213">
            <v>45858</v>
          </cell>
          <cell r="B213" t="str">
            <v>S02</v>
          </cell>
          <cell r="D213">
            <v>5</v>
          </cell>
          <cell r="F213">
            <v>851005</v>
          </cell>
        </row>
        <row r="214">
          <cell r="A214">
            <v>45849</v>
          </cell>
          <cell r="B214" t="str">
            <v>S03</v>
          </cell>
          <cell r="D214">
            <v>2</v>
          </cell>
          <cell r="F214">
            <v>632420</v>
          </cell>
        </row>
        <row r="215">
          <cell r="A215">
            <v>45848</v>
          </cell>
          <cell r="B215" t="str">
            <v>S03</v>
          </cell>
          <cell r="D215">
            <v>1</v>
          </cell>
          <cell r="F215">
            <v>504289</v>
          </cell>
        </row>
        <row r="216">
          <cell r="A216">
            <v>45896</v>
          </cell>
          <cell r="B216" t="str">
            <v>S01</v>
          </cell>
          <cell r="D216">
            <v>5</v>
          </cell>
          <cell r="F216">
            <v>1000305</v>
          </cell>
        </row>
        <row r="217">
          <cell r="A217">
            <v>45859</v>
          </cell>
          <cell r="B217" t="str">
            <v>S02</v>
          </cell>
          <cell r="D217">
            <v>3</v>
          </cell>
          <cell r="F217">
            <v>698727</v>
          </cell>
        </row>
        <row r="218">
          <cell r="A218">
            <v>45846</v>
          </cell>
          <cell r="D218">
            <v>3</v>
          </cell>
          <cell r="F218">
            <v>0</v>
          </cell>
        </row>
        <row r="219">
          <cell r="A219">
            <v>45859</v>
          </cell>
          <cell r="B219" t="str">
            <v>S02</v>
          </cell>
          <cell r="D219">
            <v>5</v>
          </cell>
          <cell r="F219">
            <v>2662985</v>
          </cell>
        </row>
        <row r="220">
          <cell r="A220">
            <v>45857</v>
          </cell>
          <cell r="B220" t="str">
            <v>S04</v>
          </cell>
          <cell r="D220">
            <v>4</v>
          </cell>
          <cell r="F220">
            <v>1894192</v>
          </cell>
        </row>
        <row r="221">
          <cell r="A221">
            <v>45853</v>
          </cell>
          <cell r="B221" t="str">
            <v>S01</v>
          </cell>
          <cell r="D221">
            <v>2</v>
          </cell>
          <cell r="F221">
            <v>220118</v>
          </cell>
        </row>
        <row r="222">
          <cell r="A222">
            <v>45861</v>
          </cell>
          <cell r="B222" t="str">
            <v>S02</v>
          </cell>
          <cell r="D222">
            <v>1</v>
          </cell>
          <cell r="F222">
            <v>532597</v>
          </cell>
        </row>
        <row r="223">
          <cell r="A223">
            <v>45898</v>
          </cell>
          <cell r="B223" t="str">
            <v>S03</v>
          </cell>
          <cell r="D223">
            <v>3</v>
          </cell>
          <cell r="F223">
            <v>507672</v>
          </cell>
        </row>
        <row r="224">
          <cell r="A224">
            <v>45873</v>
          </cell>
          <cell r="D224">
            <v>2</v>
          </cell>
          <cell r="F224">
            <v>0</v>
          </cell>
        </row>
        <row r="225">
          <cell r="A225">
            <v>45886</v>
          </cell>
          <cell r="B225" t="str">
            <v>S02</v>
          </cell>
          <cell r="D225">
            <v>2</v>
          </cell>
          <cell r="F225">
            <v>172482</v>
          </cell>
        </row>
        <row r="226">
          <cell r="A226">
            <v>45861</v>
          </cell>
          <cell r="B226" t="str">
            <v>S02</v>
          </cell>
          <cell r="D226">
            <v>4</v>
          </cell>
          <cell r="F226">
            <v>680804</v>
          </cell>
        </row>
        <row r="227">
          <cell r="A227">
            <v>45862</v>
          </cell>
          <cell r="B227" t="str">
            <v>S03</v>
          </cell>
          <cell r="D227">
            <v>2</v>
          </cell>
          <cell r="F227">
            <v>632420</v>
          </cell>
        </row>
        <row r="228">
          <cell r="A228">
            <v>45881</v>
          </cell>
          <cell r="B228" t="str">
            <v>S03</v>
          </cell>
          <cell r="D228">
            <v>1</v>
          </cell>
          <cell r="F228">
            <v>0</v>
          </cell>
        </row>
        <row r="229">
          <cell r="A229">
            <v>45889</v>
          </cell>
          <cell r="B229" t="str">
            <v>S02</v>
          </cell>
          <cell r="D229">
            <v>4</v>
          </cell>
          <cell r="F229">
            <v>1737488</v>
          </cell>
        </row>
        <row r="230">
          <cell r="A230">
            <v>45862</v>
          </cell>
          <cell r="B230" t="str">
            <v>S02</v>
          </cell>
          <cell r="D230">
            <v>1</v>
          </cell>
          <cell r="F230">
            <v>302904</v>
          </cell>
        </row>
        <row r="231">
          <cell r="A231">
            <v>45853</v>
          </cell>
          <cell r="B231" t="str">
            <v>S04</v>
          </cell>
          <cell r="D231">
            <v>1</v>
          </cell>
          <cell r="F231">
            <v>338604</v>
          </cell>
        </row>
        <row r="232">
          <cell r="A232">
            <v>45862</v>
          </cell>
          <cell r="B232" t="str">
            <v>S02</v>
          </cell>
          <cell r="D232">
            <v>4</v>
          </cell>
          <cell r="F232">
            <v>931636</v>
          </cell>
        </row>
        <row r="233">
          <cell r="A233">
            <v>45844</v>
          </cell>
          <cell r="B233" t="str">
            <v>S01</v>
          </cell>
          <cell r="D233">
            <v>1</v>
          </cell>
          <cell r="F233">
            <v>442673</v>
          </cell>
        </row>
        <row r="234">
          <cell r="A234">
            <v>45880</v>
          </cell>
          <cell r="B234" t="str">
            <v>S01</v>
          </cell>
          <cell r="D234">
            <v>4</v>
          </cell>
          <cell r="F234">
            <v>872068</v>
          </cell>
        </row>
        <row r="235">
          <cell r="A235">
            <v>45844</v>
          </cell>
          <cell r="B235" t="str">
            <v>S01</v>
          </cell>
          <cell r="D235">
            <v>4</v>
          </cell>
          <cell r="F235">
            <v>1341984</v>
          </cell>
        </row>
        <row r="236">
          <cell r="A236">
            <v>45845</v>
          </cell>
          <cell r="B236" t="str">
            <v>S03</v>
          </cell>
          <cell r="D236">
            <v>4</v>
          </cell>
          <cell r="F236">
            <v>676896</v>
          </cell>
        </row>
        <row r="237">
          <cell r="A237">
            <v>45857</v>
          </cell>
          <cell r="B237" t="str">
            <v>S04</v>
          </cell>
          <cell r="D237">
            <v>2</v>
          </cell>
          <cell r="F237">
            <v>1066832</v>
          </cell>
        </row>
        <row r="238">
          <cell r="A238">
            <v>45864</v>
          </cell>
          <cell r="B238" t="str">
            <v>S02</v>
          </cell>
          <cell r="D238">
            <v>5</v>
          </cell>
          <cell r="F238">
            <v>1164545</v>
          </cell>
        </row>
        <row r="239">
          <cell r="A239">
            <v>45873</v>
          </cell>
          <cell r="B239" t="str">
            <v>S02</v>
          </cell>
          <cell r="D239">
            <v>4</v>
          </cell>
          <cell r="F239">
            <v>344964</v>
          </cell>
        </row>
        <row r="240">
          <cell r="A240">
            <v>45888</v>
          </cell>
          <cell r="B240" t="str">
            <v>S04</v>
          </cell>
          <cell r="D240">
            <v>1</v>
          </cell>
          <cell r="F240">
            <v>473548</v>
          </cell>
        </row>
        <row r="241">
          <cell r="A241">
            <v>45865</v>
          </cell>
          <cell r="B241" t="str">
            <v>S02</v>
          </cell>
          <cell r="D241">
            <v>5</v>
          </cell>
          <cell r="F241">
            <v>1164545</v>
          </cell>
        </row>
        <row r="242">
          <cell r="A242">
            <v>45842</v>
          </cell>
          <cell r="B242" t="str">
            <v>S04</v>
          </cell>
          <cell r="D242">
            <v>2</v>
          </cell>
          <cell r="F242">
            <v>243190</v>
          </cell>
        </row>
        <row r="243">
          <cell r="A243">
            <v>45886</v>
          </cell>
          <cell r="B243" t="str">
            <v>S03</v>
          </cell>
          <cell r="D243">
            <v>3</v>
          </cell>
          <cell r="F243">
            <v>1404006</v>
          </cell>
        </row>
        <row r="244">
          <cell r="A244">
            <v>45865</v>
          </cell>
          <cell r="B244" t="str">
            <v>S04</v>
          </cell>
          <cell r="D244">
            <v>4</v>
          </cell>
          <cell r="F244">
            <v>0</v>
          </cell>
        </row>
        <row r="245">
          <cell r="A245">
            <v>45873</v>
          </cell>
          <cell r="B245" t="str">
            <v>S04</v>
          </cell>
          <cell r="D245">
            <v>4</v>
          </cell>
          <cell r="F245">
            <v>2133664</v>
          </cell>
        </row>
        <row r="246">
          <cell r="A246">
            <v>45865</v>
          </cell>
          <cell r="B246" t="str">
            <v>S02</v>
          </cell>
          <cell r="D246">
            <v>5</v>
          </cell>
          <cell r="F246">
            <v>1514520</v>
          </cell>
        </row>
        <row r="247">
          <cell r="A247">
            <v>45867</v>
          </cell>
          <cell r="B247" t="str">
            <v>S03</v>
          </cell>
          <cell r="D247">
            <v>3</v>
          </cell>
          <cell r="F247">
            <v>1404006</v>
          </cell>
        </row>
        <row r="248">
          <cell r="A248">
            <v>45867</v>
          </cell>
          <cell r="B248" t="str">
            <v>S03</v>
          </cell>
          <cell r="D248">
            <v>1</v>
          </cell>
          <cell r="F248">
            <v>316210</v>
          </cell>
        </row>
        <row r="249">
          <cell r="A249">
            <v>45843</v>
          </cell>
          <cell r="D249">
            <v>5</v>
          </cell>
          <cell r="F249">
            <v>0</v>
          </cell>
        </row>
        <row r="250">
          <cell r="A250">
            <v>45850</v>
          </cell>
          <cell r="B250" t="str">
            <v>S04</v>
          </cell>
          <cell r="D250">
            <v>3</v>
          </cell>
          <cell r="F250">
            <v>364785</v>
          </cell>
        </row>
        <row r="251">
          <cell r="A251">
            <v>45851</v>
          </cell>
          <cell r="B251" t="str">
            <v>S01</v>
          </cell>
          <cell r="D251">
            <v>1</v>
          </cell>
          <cell r="F251">
            <v>335496</v>
          </cell>
        </row>
        <row r="252">
          <cell r="A252">
            <v>45866</v>
          </cell>
          <cell r="B252" t="str">
            <v>S02</v>
          </cell>
          <cell r="D252">
            <v>5</v>
          </cell>
          <cell r="F252">
            <v>1164545</v>
          </cell>
        </row>
        <row r="253">
          <cell r="A253">
            <v>45844</v>
          </cell>
          <cell r="B253" t="str">
            <v>S03</v>
          </cell>
          <cell r="D253">
            <v>4</v>
          </cell>
          <cell r="F253">
            <v>676896</v>
          </cell>
        </row>
        <row r="254">
          <cell r="A254">
            <v>45884</v>
          </cell>
          <cell r="B254" t="str">
            <v>S04</v>
          </cell>
          <cell r="D254">
            <v>4</v>
          </cell>
          <cell r="F254">
            <v>1894192</v>
          </cell>
        </row>
        <row r="255">
          <cell r="A255">
            <v>45844</v>
          </cell>
          <cell r="B255" t="str">
            <v>S04</v>
          </cell>
          <cell r="D255">
            <v>4</v>
          </cell>
          <cell r="F255">
            <v>2133664</v>
          </cell>
        </row>
        <row r="256">
          <cell r="A256">
            <v>45867</v>
          </cell>
          <cell r="B256" t="str">
            <v>S04</v>
          </cell>
          <cell r="D256">
            <v>2</v>
          </cell>
          <cell r="F256">
            <v>478782</v>
          </cell>
        </row>
        <row r="257">
          <cell r="A257">
            <v>45868</v>
          </cell>
          <cell r="B257" t="str">
            <v>S02</v>
          </cell>
          <cell r="D257">
            <v>1</v>
          </cell>
          <cell r="F257">
            <v>86241</v>
          </cell>
        </row>
        <row r="258">
          <cell r="A258">
            <v>45881</v>
          </cell>
          <cell r="B258" t="str">
            <v>S03</v>
          </cell>
          <cell r="D258">
            <v>3</v>
          </cell>
          <cell r="F258">
            <v>656136</v>
          </cell>
        </row>
        <row r="259">
          <cell r="A259">
            <v>45851</v>
          </cell>
          <cell r="B259" t="str">
            <v>S03</v>
          </cell>
          <cell r="D259">
            <v>4</v>
          </cell>
          <cell r="F259">
            <v>322968</v>
          </cell>
        </row>
        <row r="260">
          <cell r="A260">
            <v>45864</v>
          </cell>
          <cell r="B260" t="str">
            <v>S01</v>
          </cell>
          <cell r="D260">
            <v>2</v>
          </cell>
          <cell r="F260">
            <v>885346</v>
          </cell>
        </row>
        <row r="261">
          <cell r="A261">
            <v>45844</v>
          </cell>
          <cell r="B261" t="str">
            <v>S01</v>
          </cell>
          <cell r="D261">
            <v>2</v>
          </cell>
          <cell r="F261">
            <v>436034</v>
          </cell>
        </row>
      </sheetData>
      <sheetData sheetId="1">
        <row r="1">
          <cell r="D1" t="str">
            <v>ProductID</v>
          </cell>
          <cell r="E1" t="str">
            <v>Qty</v>
          </cell>
        </row>
        <row r="2">
          <cell r="D2" t="str">
            <v>P006</v>
          </cell>
          <cell r="E2">
            <v>3</v>
          </cell>
        </row>
        <row r="3">
          <cell r="D3" t="str">
            <v>P002</v>
          </cell>
          <cell r="E3">
            <v>3</v>
          </cell>
        </row>
        <row r="4">
          <cell r="D4" t="str">
            <v>P005</v>
          </cell>
          <cell r="E4">
            <v>1</v>
          </cell>
        </row>
        <row r="5">
          <cell r="D5" t="str">
            <v>P001</v>
          </cell>
          <cell r="E5">
            <v>2</v>
          </cell>
        </row>
        <row r="6">
          <cell r="D6" t="str">
            <v>P006</v>
          </cell>
          <cell r="E6">
            <v>4</v>
          </cell>
        </row>
        <row r="7">
          <cell r="D7" t="str">
            <v>P002</v>
          </cell>
          <cell r="E7">
            <v>4</v>
          </cell>
        </row>
        <row r="8">
          <cell r="D8" t="str">
            <v>P003</v>
          </cell>
          <cell r="E8">
            <v>2</v>
          </cell>
        </row>
        <row r="9">
          <cell r="D9" t="str">
            <v>P005</v>
          </cell>
          <cell r="E9">
            <v>1</v>
          </cell>
        </row>
        <row r="10">
          <cell r="D10" t="str">
            <v>P002</v>
          </cell>
          <cell r="E10">
            <v>1</v>
          </cell>
        </row>
        <row r="11">
          <cell r="D11" t="str">
            <v>P006</v>
          </cell>
          <cell r="E11">
            <v>1</v>
          </cell>
        </row>
        <row r="12">
          <cell r="D12" t="str">
            <v>P003</v>
          </cell>
          <cell r="E12">
            <v>3</v>
          </cell>
        </row>
        <row r="13">
          <cell r="D13" t="str">
            <v>P006</v>
          </cell>
          <cell r="E13">
            <v>2</v>
          </cell>
        </row>
        <row r="14">
          <cell r="D14" t="str">
            <v>P001</v>
          </cell>
          <cell r="E14">
            <v>3</v>
          </cell>
        </row>
        <row r="15">
          <cell r="D15" t="str">
            <v>P006</v>
          </cell>
          <cell r="E15">
            <v>2</v>
          </cell>
        </row>
        <row r="16">
          <cell r="D16" t="str">
            <v>P005</v>
          </cell>
          <cell r="E16">
            <v>2</v>
          </cell>
        </row>
        <row r="17">
          <cell r="D17" t="str">
            <v>P003</v>
          </cell>
          <cell r="E17">
            <v>1</v>
          </cell>
        </row>
        <row r="18">
          <cell r="D18" t="str">
            <v>P004</v>
          </cell>
          <cell r="E18">
            <v>2</v>
          </cell>
        </row>
        <row r="19">
          <cell r="D19" t="str">
            <v>P005</v>
          </cell>
          <cell r="E19">
            <v>3</v>
          </cell>
        </row>
        <row r="20">
          <cell r="D20" t="str">
            <v>P005</v>
          </cell>
          <cell r="E20">
            <v>3</v>
          </cell>
        </row>
        <row r="21">
          <cell r="D21" t="str">
            <v>P002</v>
          </cell>
          <cell r="E21">
            <v>3</v>
          </cell>
        </row>
        <row r="22">
          <cell r="D22" t="str">
            <v>P002</v>
          </cell>
          <cell r="E22">
            <v>2</v>
          </cell>
        </row>
        <row r="23">
          <cell r="D23" t="str">
            <v>P004</v>
          </cell>
          <cell r="E23">
            <v>3</v>
          </cell>
        </row>
        <row r="24">
          <cell r="D24" t="str">
            <v>P004</v>
          </cell>
          <cell r="E24">
            <v>1</v>
          </cell>
        </row>
        <row r="25">
          <cell r="D25" t="str">
            <v>P002</v>
          </cell>
          <cell r="E25">
            <v>3</v>
          </cell>
        </row>
        <row r="26">
          <cell r="D26" t="str">
            <v>P003</v>
          </cell>
          <cell r="E26">
            <v>4</v>
          </cell>
        </row>
        <row r="27">
          <cell r="D27" t="str">
            <v>P003</v>
          </cell>
          <cell r="E27">
            <v>1</v>
          </cell>
        </row>
        <row r="28">
          <cell r="D28" t="str">
            <v>P004</v>
          </cell>
          <cell r="E28">
            <v>3</v>
          </cell>
        </row>
        <row r="29">
          <cell r="D29" t="str">
            <v>P006</v>
          </cell>
          <cell r="E29">
            <v>3</v>
          </cell>
        </row>
        <row r="30">
          <cell r="D30" t="str">
            <v>P006</v>
          </cell>
          <cell r="E30">
            <v>1</v>
          </cell>
        </row>
        <row r="31">
          <cell r="D31" t="str">
            <v>P006</v>
          </cell>
          <cell r="E31">
            <v>2</v>
          </cell>
        </row>
        <row r="32">
          <cell r="D32" t="str">
            <v>P003</v>
          </cell>
          <cell r="E32">
            <v>2</v>
          </cell>
        </row>
        <row r="33">
          <cell r="D33" t="str">
            <v>P003</v>
          </cell>
          <cell r="E33">
            <v>3</v>
          </cell>
        </row>
        <row r="34">
          <cell r="D34" t="str">
            <v>P004</v>
          </cell>
          <cell r="E34">
            <v>4</v>
          </cell>
        </row>
        <row r="35">
          <cell r="D35" t="str">
            <v>P006</v>
          </cell>
          <cell r="E35">
            <v>2</v>
          </cell>
        </row>
        <row r="36">
          <cell r="D36" t="str">
            <v>P006</v>
          </cell>
          <cell r="E36">
            <v>4</v>
          </cell>
        </row>
        <row r="37">
          <cell r="D37" t="str">
            <v>P001</v>
          </cell>
          <cell r="E37">
            <v>1</v>
          </cell>
        </row>
        <row r="38">
          <cell r="D38" t="str">
            <v>P006</v>
          </cell>
          <cell r="E38">
            <v>1</v>
          </cell>
        </row>
        <row r="39">
          <cell r="D39" t="str">
            <v>P001</v>
          </cell>
          <cell r="E39">
            <v>1</v>
          </cell>
        </row>
        <row r="40">
          <cell r="D40" t="str">
            <v>P003</v>
          </cell>
          <cell r="E40">
            <v>1</v>
          </cell>
        </row>
        <row r="41">
          <cell r="D41" t="str">
            <v>P005</v>
          </cell>
          <cell r="E41">
            <v>2</v>
          </cell>
        </row>
        <row r="42">
          <cell r="D42" t="str">
            <v>P003</v>
          </cell>
          <cell r="E42">
            <v>3</v>
          </cell>
        </row>
        <row r="43">
          <cell r="D43" t="str">
            <v>P002</v>
          </cell>
          <cell r="E43">
            <v>2</v>
          </cell>
        </row>
        <row r="44">
          <cell r="D44" t="str">
            <v>P004</v>
          </cell>
          <cell r="E44">
            <v>1</v>
          </cell>
        </row>
        <row r="45">
          <cell r="D45" t="str">
            <v>P005</v>
          </cell>
          <cell r="E45">
            <v>2</v>
          </cell>
        </row>
        <row r="46">
          <cell r="D46" t="str">
            <v>P006</v>
          </cell>
          <cell r="E46">
            <v>1</v>
          </cell>
        </row>
        <row r="47">
          <cell r="D47" t="str">
            <v>P004</v>
          </cell>
          <cell r="E47">
            <v>4</v>
          </cell>
        </row>
        <row r="48">
          <cell r="D48" t="str">
            <v>P006</v>
          </cell>
          <cell r="E48">
            <v>2</v>
          </cell>
        </row>
        <row r="49">
          <cell r="D49" t="str">
            <v>SKU999</v>
          </cell>
          <cell r="E49">
            <v>2</v>
          </cell>
        </row>
        <row r="50">
          <cell r="D50" t="str">
            <v>P004</v>
          </cell>
          <cell r="E50">
            <v>1</v>
          </cell>
        </row>
        <row r="51">
          <cell r="D51" t="str">
            <v>P001</v>
          </cell>
          <cell r="E51">
            <v>4</v>
          </cell>
        </row>
        <row r="52">
          <cell r="D52" t="str">
            <v>P001</v>
          </cell>
          <cell r="E52">
            <v>2</v>
          </cell>
        </row>
        <row r="53">
          <cell r="D53" t="str">
            <v>P006</v>
          </cell>
          <cell r="E53">
            <v>4</v>
          </cell>
        </row>
        <row r="54">
          <cell r="D54" t="str">
            <v>P005</v>
          </cell>
          <cell r="E54">
            <v>4</v>
          </cell>
        </row>
        <row r="55">
          <cell r="D55" t="str">
            <v>P001</v>
          </cell>
          <cell r="E55">
            <v>4</v>
          </cell>
        </row>
        <row r="56">
          <cell r="D56" t="str">
            <v>P002</v>
          </cell>
          <cell r="E56">
            <v>4</v>
          </cell>
        </row>
        <row r="57">
          <cell r="D57" t="str">
            <v>P002</v>
          </cell>
          <cell r="E57">
            <v>3</v>
          </cell>
        </row>
        <row r="58">
          <cell r="D58" t="str">
            <v>P006</v>
          </cell>
          <cell r="E58">
            <v>2</v>
          </cell>
        </row>
        <row r="59">
          <cell r="D59" t="str">
            <v>P001</v>
          </cell>
          <cell r="E59">
            <v>1</v>
          </cell>
        </row>
        <row r="60">
          <cell r="D60" t="str">
            <v>P002</v>
          </cell>
          <cell r="E60">
            <v>4</v>
          </cell>
        </row>
        <row r="61">
          <cell r="D61" t="str">
            <v>P001</v>
          </cell>
          <cell r="E61">
            <v>4</v>
          </cell>
        </row>
        <row r="62">
          <cell r="D62" t="str">
            <v>P005</v>
          </cell>
          <cell r="E62">
            <v>2</v>
          </cell>
        </row>
        <row r="63">
          <cell r="D63" t="str">
            <v>P006</v>
          </cell>
          <cell r="E63">
            <v>4</v>
          </cell>
        </row>
        <row r="64">
          <cell r="D64" t="str">
            <v>P003</v>
          </cell>
          <cell r="E64">
            <v>4</v>
          </cell>
        </row>
        <row r="65">
          <cell r="D65" t="str">
            <v>P003</v>
          </cell>
          <cell r="E65">
            <v>2</v>
          </cell>
        </row>
        <row r="66">
          <cell r="D66" t="str">
            <v>P002</v>
          </cell>
          <cell r="E66">
            <v>2</v>
          </cell>
        </row>
        <row r="67">
          <cell r="D67" t="str">
            <v>P004</v>
          </cell>
          <cell r="E67">
            <v>1</v>
          </cell>
        </row>
        <row r="68">
          <cell r="D68" t="str">
            <v>P006</v>
          </cell>
          <cell r="E68">
            <v>1</v>
          </cell>
        </row>
        <row r="69">
          <cell r="D69" t="str">
            <v>P003</v>
          </cell>
          <cell r="E69">
            <v>2</v>
          </cell>
        </row>
        <row r="70">
          <cell r="D70" t="str">
            <v>P004</v>
          </cell>
          <cell r="E70">
            <v>3</v>
          </cell>
        </row>
        <row r="71">
          <cell r="D71" t="str">
            <v>SKU999</v>
          </cell>
          <cell r="E71">
            <v>1</v>
          </cell>
        </row>
        <row r="72">
          <cell r="D72" t="str">
            <v>P001</v>
          </cell>
          <cell r="E72">
            <v>3</v>
          </cell>
        </row>
        <row r="73">
          <cell r="D73" t="str">
            <v>P001</v>
          </cell>
          <cell r="E73">
            <v>3</v>
          </cell>
        </row>
        <row r="74">
          <cell r="D74" t="str">
            <v>P006</v>
          </cell>
          <cell r="E74">
            <v>3</v>
          </cell>
        </row>
        <row r="75">
          <cell r="D75" t="str">
            <v>P003</v>
          </cell>
          <cell r="E75">
            <v>1</v>
          </cell>
        </row>
        <row r="76">
          <cell r="D76" t="str">
            <v>P006</v>
          </cell>
          <cell r="E76">
            <v>3</v>
          </cell>
        </row>
        <row r="77">
          <cell r="D77" t="str">
            <v>P003</v>
          </cell>
          <cell r="E77">
            <v>2</v>
          </cell>
        </row>
        <row r="78">
          <cell r="D78" t="str">
            <v>P005</v>
          </cell>
          <cell r="E78">
            <v>4</v>
          </cell>
        </row>
        <row r="79">
          <cell r="D79" t="str">
            <v>SKU999</v>
          </cell>
          <cell r="E79">
            <v>4</v>
          </cell>
        </row>
        <row r="80">
          <cell r="D80" t="str">
            <v>SKU999</v>
          </cell>
          <cell r="E80">
            <v>2</v>
          </cell>
        </row>
        <row r="81">
          <cell r="D81" t="str">
            <v>P004</v>
          </cell>
          <cell r="E81">
            <v>4</v>
          </cell>
        </row>
        <row r="82">
          <cell r="D82" t="str">
            <v>P003</v>
          </cell>
          <cell r="E82">
            <v>3</v>
          </cell>
        </row>
        <row r="83">
          <cell r="D83" t="str">
            <v>P005</v>
          </cell>
          <cell r="E83">
            <v>3</v>
          </cell>
        </row>
        <row r="84">
          <cell r="D84" t="str">
            <v>P003</v>
          </cell>
          <cell r="E84">
            <v>2</v>
          </cell>
        </row>
        <row r="85">
          <cell r="D85" t="str">
            <v>P001</v>
          </cell>
          <cell r="E85">
            <v>3</v>
          </cell>
        </row>
        <row r="86">
          <cell r="D86" t="str">
            <v>P001</v>
          </cell>
          <cell r="E86">
            <v>2</v>
          </cell>
        </row>
        <row r="87">
          <cell r="D87" t="str">
            <v>P004</v>
          </cell>
          <cell r="E87">
            <v>4</v>
          </cell>
        </row>
        <row r="88">
          <cell r="D88" t="str">
            <v>P002</v>
          </cell>
          <cell r="E88">
            <v>1</v>
          </cell>
        </row>
        <row r="89">
          <cell r="D89" t="str">
            <v>P004</v>
          </cell>
          <cell r="E89">
            <v>1</v>
          </cell>
        </row>
        <row r="90">
          <cell r="D90" t="str">
            <v>P001</v>
          </cell>
          <cell r="E90">
            <v>3</v>
          </cell>
        </row>
        <row r="91">
          <cell r="D91" t="str">
            <v>P005</v>
          </cell>
          <cell r="E91">
            <v>1</v>
          </cell>
        </row>
        <row r="92">
          <cell r="D92" t="str">
            <v>P002</v>
          </cell>
          <cell r="E92">
            <v>2</v>
          </cell>
        </row>
        <row r="93">
          <cell r="D93" t="str">
            <v>P004</v>
          </cell>
          <cell r="E93">
            <v>2</v>
          </cell>
        </row>
        <row r="94">
          <cell r="D94" t="str">
            <v>P005</v>
          </cell>
          <cell r="E94">
            <v>1</v>
          </cell>
        </row>
        <row r="95">
          <cell r="D95" t="str">
            <v>P006</v>
          </cell>
          <cell r="E95">
            <v>3</v>
          </cell>
        </row>
        <row r="96">
          <cell r="D96" t="str">
            <v>P002</v>
          </cell>
          <cell r="E96">
            <v>2</v>
          </cell>
        </row>
        <row r="97">
          <cell r="D97" t="str">
            <v>P002</v>
          </cell>
          <cell r="E97">
            <v>4</v>
          </cell>
        </row>
        <row r="98">
          <cell r="D98" t="str">
            <v>P005</v>
          </cell>
          <cell r="E98">
            <v>3</v>
          </cell>
        </row>
        <row r="99">
          <cell r="D99" t="str">
            <v>P001</v>
          </cell>
          <cell r="E99">
            <v>1</v>
          </cell>
        </row>
        <row r="100">
          <cell r="D100" t="str">
            <v>P005</v>
          </cell>
          <cell r="E100">
            <v>2</v>
          </cell>
        </row>
        <row r="101">
          <cell r="D101" t="str">
            <v>P006</v>
          </cell>
          <cell r="E101">
            <v>2</v>
          </cell>
        </row>
        <row r="102">
          <cell r="D102" t="str">
            <v>P004</v>
          </cell>
          <cell r="E102">
            <v>4</v>
          </cell>
        </row>
        <row r="103">
          <cell r="D103" t="str">
            <v>P001</v>
          </cell>
          <cell r="E103">
            <v>1</v>
          </cell>
        </row>
        <row r="104">
          <cell r="D104" t="str">
            <v>P005</v>
          </cell>
          <cell r="E104">
            <v>3</v>
          </cell>
        </row>
        <row r="105">
          <cell r="D105" t="str">
            <v>P002</v>
          </cell>
          <cell r="E105">
            <v>2</v>
          </cell>
        </row>
        <row r="106">
          <cell r="D106" t="str">
            <v>P002</v>
          </cell>
          <cell r="E106">
            <v>4</v>
          </cell>
        </row>
        <row r="107">
          <cell r="D107" t="str">
            <v>P004</v>
          </cell>
          <cell r="E107">
            <v>1</v>
          </cell>
        </row>
        <row r="108">
          <cell r="D108" t="str">
            <v>P005</v>
          </cell>
          <cell r="E108">
            <v>3</v>
          </cell>
        </row>
        <row r="109">
          <cell r="D109" t="str">
            <v>P003</v>
          </cell>
          <cell r="E109">
            <v>3</v>
          </cell>
        </row>
        <row r="110">
          <cell r="D110" t="str">
            <v>SKU999</v>
          </cell>
          <cell r="E110">
            <v>2</v>
          </cell>
        </row>
        <row r="111">
          <cell r="D111" t="str">
            <v>P001</v>
          </cell>
          <cell r="E111">
            <v>3</v>
          </cell>
        </row>
        <row r="112">
          <cell r="D112" t="str">
            <v>P003</v>
          </cell>
          <cell r="E112">
            <v>1</v>
          </cell>
        </row>
        <row r="113">
          <cell r="D113" t="str">
            <v>P002</v>
          </cell>
          <cell r="E113">
            <v>3</v>
          </cell>
        </row>
        <row r="114">
          <cell r="D114" t="str">
            <v>P001</v>
          </cell>
          <cell r="E114">
            <v>4</v>
          </cell>
        </row>
        <row r="115">
          <cell r="D115" t="str">
            <v>P001</v>
          </cell>
          <cell r="E115">
            <v>4</v>
          </cell>
        </row>
        <row r="116">
          <cell r="D116" t="str">
            <v>P001</v>
          </cell>
          <cell r="E116">
            <v>1</v>
          </cell>
        </row>
        <row r="117">
          <cell r="D117" t="str">
            <v>P003</v>
          </cell>
          <cell r="E117">
            <v>2</v>
          </cell>
        </row>
        <row r="118">
          <cell r="D118" t="str">
            <v>P005</v>
          </cell>
          <cell r="E118">
            <v>4</v>
          </cell>
        </row>
        <row r="119">
          <cell r="D119" t="str">
            <v>P002</v>
          </cell>
          <cell r="E119">
            <v>2</v>
          </cell>
        </row>
        <row r="120">
          <cell r="D120" t="str">
            <v>P003</v>
          </cell>
          <cell r="E120">
            <v>3</v>
          </cell>
        </row>
        <row r="121">
          <cell r="D121" t="str">
            <v>P001</v>
          </cell>
          <cell r="E121">
            <v>1</v>
          </cell>
        </row>
        <row r="122">
          <cell r="D122" t="str">
            <v>P001</v>
          </cell>
          <cell r="E122">
            <v>1</v>
          </cell>
        </row>
        <row r="123">
          <cell r="D123" t="str">
            <v>P003</v>
          </cell>
          <cell r="E123">
            <v>3</v>
          </cell>
        </row>
        <row r="124">
          <cell r="D124" t="str">
            <v>P003</v>
          </cell>
          <cell r="E124">
            <v>1</v>
          </cell>
        </row>
        <row r="125">
          <cell r="D125" t="str">
            <v>P001</v>
          </cell>
          <cell r="E125">
            <v>2</v>
          </cell>
        </row>
        <row r="126">
          <cell r="D126" t="str">
            <v>P006</v>
          </cell>
          <cell r="E126">
            <v>3</v>
          </cell>
        </row>
        <row r="127">
          <cell r="D127" t="str">
            <v>P004</v>
          </cell>
          <cell r="E127">
            <v>3</v>
          </cell>
        </row>
        <row r="128">
          <cell r="D128" t="str">
            <v>P005</v>
          </cell>
          <cell r="E128">
            <v>1</v>
          </cell>
        </row>
        <row r="129">
          <cell r="D129" t="str">
            <v>P004</v>
          </cell>
          <cell r="E129">
            <v>4</v>
          </cell>
        </row>
        <row r="130">
          <cell r="D130" t="str">
            <v>P004</v>
          </cell>
          <cell r="E130">
            <v>1</v>
          </cell>
        </row>
        <row r="131">
          <cell r="D131" t="str">
            <v>P001</v>
          </cell>
          <cell r="E131">
            <v>4</v>
          </cell>
        </row>
        <row r="132">
          <cell r="D132" t="str">
            <v>P005</v>
          </cell>
          <cell r="E132">
            <v>4</v>
          </cell>
        </row>
        <row r="133">
          <cell r="D133" t="str">
            <v>P004</v>
          </cell>
          <cell r="E133">
            <v>4</v>
          </cell>
        </row>
        <row r="134">
          <cell r="D134" t="str">
            <v>P004</v>
          </cell>
          <cell r="E134">
            <v>2</v>
          </cell>
        </row>
        <row r="135">
          <cell r="D135" t="str">
            <v>P002</v>
          </cell>
          <cell r="E135">
            <v>4</v>
          </cell>
        </row>
        <row r="136">
          <cell r="D136" t="str">
            <v>P002</v>
          </cell>
          <cell r="E136">
            <v>4</v>
          </cell>
        </row>
        <row r="137">
          <cell r="D137" t="str">
            <v>P006</v>
          </cell>
          <cell r="E137">
            <v>3</v>
          </cell>
        </row>
        <row r="138">
          <cell r="D138" t="str">
            <v>P005</v>
          </cell>
          <cell r="E138">
            <v>3</v>
          </cell>
        </row>
        <row r="139">
          <cell r="D139" t="str">
            <v>P005</v>
          </cell>
          <cell r="E139">
            <v>3</v>
          </cell>
        </row>
        <row r="140">
          <cell r="D140" t="str">
            <v>P002</v>
          </cell>
          <cell r="E140">
            <v>1</v>
          </cell>
        </row>
        <row r="141">
          <cell r="D141" t="str">
            <v>P005</v>
          </cell>
          <cell r="E141">
            <v>2</v>
          </cell>
        </row>
        <row r="142">
          <cell r="D142" t="str">
            <v>P003</v>
          </cell>
          <cell r="E142">
            <v>2</v>
          </cell>
        </row>
        <row r="143">
          <cell r="D143" t="str">
            <v>P001</v>
          </cell>
          <cell r="E143">
            <v>4</v>
          </cell>
        </row>
        <row r="144">
          <cell r="D144" t="str">
            <v>P002</v>
          </cell>
          <cell r="E144">
            <v>3</v>
          </cell>
        </row>
        <row r="145">
          <cell r="D145" t="str">
            <v>P004</v>
          </cell>
          <cell r="E145">
            <v>3</v>
          </cell>
        </row>
        <row r="146">
          <cell r="D146" t="str">
            <v>P004</v>
          </cell>
          <cell r="E146">
            <v>4</v>
          </cell>
        </row>
        <row r="147">
          <cell r="D147" t="str">
            <v>P006</v>
          </cell>
          <cell r="E147">
            <v>2</v>
          </cell>
        </row>
        <row r="148">
          <cell r="D148" t="str">
            <v>P001</v>
          </cell>
          <cell r="E148">
            <v>2</v>
          </cell>
        </row>
        <row r="149">
          <cell r="D149" t="str">
            <v>P003</v>
          </cell>
          <cell r="E149">
            <v>2</v>
          </cell>
        </row>
        <row r="150">
          <cell r="D150" t="str">
            <v>P004</v>
          </cell>
          <cell r="E150">
            <v>1</v>
          </cell>
        </row>
        <row r="151">
          <cell r="D151" t="str">
            <v>P006</v>
          </cell>
          <cell r="E151">
            <v>4</v>
          </cell>
        </row>
        <row r="152">
          <cell r="D152" t="str">
            <v>P003</v>
          </cell>
          <cell r="E152">
            <v>1</v>
          </cell>
        </row>
        <row r="153">
          <cell r="D153" t="str">
            <v>P001</v>
          </cell>
          <cell r="E153">
            <v>4</v>
          </cell>
        </row>
        <row r="154">
          <cell r="D154" t="str">
            <v>P001</v>
          </cell>
          <cell r="E154">
            <v>4</v>
          </cell>
        </row>
        <row r="155">
          <cell r="D155" t="str">
            <v>P002</v>
          </cell>
          <cell r="E155">
            <v>1</v>
          </cell>
        </row>
        <row r="156">
          <cell r="D156" t="str">
            <v>P002</v>
          </cell>
          <cell r="E156">
            <v>1</v>
          </cell>
        </row>
        <row r="157">
          <cell r="D157" t="str">
            <v>P005</v>
          </cell>
          <cell r="E157">
            <v>2</v>
          </cell>
        </row>
        <row r="158">
          <cell r="D158" t="str">
            <v>P004</v>
          </cell>
          <cell r="E158">
            <v>2</v>
          </cell>
        </row>
        <row r="159">
          <cell r="D159" t="str">
            <v>P001</v>
          </cell>
          <cell r="E159">
            <v>3</v>
          </cell>
        </row>
        <row r="160">
          <cell r="D160" t="str">
            <v>P004</v>
          </cell>
          <cell r="E160">
            <v>3</v>
          </cell>
        </row>
        <row r="161">
          <cell r="D161" t="str">
            <v>P003</v>
          </cell>
          <cell r="E161">
            <v>1</v>
          </cell>
        </row>
        <row r="162">
          <cell r="D162" t="str">
            <v>P002</v>
          </cell>
          <cell r="E162">
            <v>4</v>
          </cell>
        </row>
        <row r="163">
          <cell r="D163" t="str">
            <v>P001</v>
          </cell>
          <cell r="E163">
            <v>3</v>
          </cell>
        </row>
        <row r="164">
          <cell r="D164" t="str">
            <v>P005</v>
          </cell>
          <cell r="E164">
            <v>3</v>
          </cell>
        </row>
        <row r="165">
          <cell r="D165" t="str">
            <v>P006</v>
          </cell>
          <cell r="E165">
            <v>4</v>
          </cell>
        </row>
        <row r="166">
          <cell r="D166" t="str">
            <v>P001</v>
          </cell>
          <cell r="E166">
            <v>3</v>
          </cell>
        </row>
        <row r="167">
          <cell r="D167" t="str">
            <v>P005</v>
          </cell>
          <cell r="E167">
            <v>3</v>
          </cell>
        </row>
        <row r="168">
          <cell r="D168" t="str">
            <v>P004</v>
          </cell>
          <cell r="E168">
            <v>4</v>
          </cell>
        </row>
        <row r="169">
          <cell r="D169" t="str">
            <v>P002</v>
          </cell>
          <cell r="E169">
            <v>4</v>
          </cell>
        </row>
        <row r="170">
          <cell r="D170" t="str">
            <v>P006</v>
          </cell>
          <cell r="E170">
            <v>1</v>
          </cell>
        </row>
        <row r="171">
          <cell r="D171" t="str">
            <v>P004</v>
          </cell>
          <cell r="E171">
            <v>4</v>
          </cell>
        </row>
        <row r="172">
          <cell r="D172" t="str">
            <v>P001</v>
          </cell>
          <cell r="E172">
            <v>3</v>
          </cell>
        </row>
        <row r="173">
          <cell r="D173" t="str">
            <v>P005</v>
          </cell>
          <cell r="E173">
            <v>3</v>
          </cell>
        </row>
        <row r="174">
          <cell r="D174" t="str">
            <v>P006</v>
          </cell>
          <cell r="E174">
            <v>3</v>
          </cell>
        </row>
        <row r="175">
          <cell r="D175" t="str">
            <v>P003</v>
          </cell>
          <cell r="E175">
            <v>4</v>
          </cell>
        </row>
        <row r="176">
          <cell r="D176" t="str">
            <v>P005</v>
          </cell>
          <cell r="E176">
            <v>1</v>
          </cell>
        </row>
        <row r="177">
          <cell r="D177" t="str">
            <v>SKU999</v>
          </cell>
          <cell r="E177">
            <v>4</v>
          </cell>
        </row>
        <row r="178">
          <cell r="D178" t="str">
            <v>P006</v>
          </cell>
          <cell r="E178">
            <v>1</v>
          </cell>
        </row>
        <row r="179">
          <cell r="D179" t="str">
            <v>P003</v>
          </cell>
          <cell r="E179">
            <v>1</v>
          </cell>
        </row>
        <row r="180">
          <cell r="D180" t="str">
            <v>P003</v>
          </cell>
          <cell r="E180">
            <v>1</v>
          </cell>
        </row>
        <row r="181">
          <cell r="D181" t="str">
            <v>SKU999</v>
          </cell>
          <cell r="E181">
            <v>1</v>
          </cell>
        </row>
        <row r="182">
          <cell r="D182" t="str">
            <v>P006</v>
          </cell>
          <cell r="E182">
            <v>3</v>
          </cell>
        </row>
        <row r="183">
          <cell r="D183" t="str">
            <v>P003</v>
          </cell>
          <cell r="E183">
            <v>3</v>
          </cell>
        </row>
        <row r="184">
          <cell r="D184" t="str">
            <v>P001</v>
          </cell>
          <cell r="E184">
            <v>3</v>
          </cell>
        </row>
        <row r="185">
          <cell r="D185" t="str">
            <v>P004</v>
          </cell>
          <cell r="E185">
            <v>1</v>
          </cell>
        </row>
        <row r="186">
          <cell r="D186" t="str">
            <v>P004</v>
          </cell>
          <cell r="E186">
            <v>3</v>
          </cell>
        </row>
        <row r="187">
          <cell r="D187" t="str">
            <v>P005</v>
          </cell>
          <cell r="E187">
            <v>4</v>
          </cell>
        </row>
        <row r="188">
          <cell r="D188" t="str">
            <v>P005</v>
          </cell>
          <cell r="E188">
            <v>2</v>
          </cell>
        </row>
        <row r="189">
          <cell r="D189" t="str">
            <v>P001</v>
          </cell>
          <cell r="E189">
            <v>1</v>
          </cell>
        </row>
        <row r="190">
          <cell r="D190" t="str">
            <v>P002</v>
          </cell>
          <cell r="E190">
            <v>4</v>
          </cell>
        </row>
        <row r="191">
          <cell r="D191" t="str">
            <v>P001</v>
          </cell>
          <cell r="E191">
            <v>4</v>
          </cell>
        </row>
        <row r="192">
          <cell r="D192" t="str">
            <v>P001</v>
          </cell>
          <cell r="E192">
            <v>3</v>
          </cell>
        </row>
        <row r="193">
          <cell r="D193" t="str">
            <v>P002</v>
          </cell>
          <cell r="E193">
            <v>4</v>
          </cell>
        </row>
        <row r="194">
          <cell r="D194" t="str">
            <v>P005</v>
          </cell>
          <cell r="E194">
            <v>2</v>
          </cell>
        </row>
        <row r="195">
          <cell r="D195" t="str">
            <v>P006</v>
          </cell>
          <cell r="E195">
            <v>3</v>
          </cell>
        </row>
        <row r="196">
          <cell r="D196" t="str">
            <v>P005</v>
          </cell>
          <cell r="E196">
            <v>2</v>
          </cell>
        </row>
        <row r="197">
          <cell r="D197" t="str">
            <v>P005</v>
          </cell>
          <cell r="E197">
            <v>4</v>
          </cell>
        </row>
        <row r="198">
          <cell r="D198" t="str">
            <v>P006</v>
          </cell>
          <cell r="E198">
            <v>1</v>
          </cell>
        </row>
        <row r="199">
          <cell r="D199" t="str">
            <v>P005</v>
          </cell>
          <cell r="E199">
            <v>2</v>
          </cell>
        </row>
        <row r="200">
          <cell r="D200" t="str">
            <v>P001</v>
          </cell>
          <cell r="E200">
            <v>1</v>
          </cell>
        </row>
        <row r="201">
          <cell r="D201" t="str">
            <v>P005</v>
          </cell>
          <cell r="E201">
            <v>1</v>
          </cell>
        </row>
        <row r="202">
          <cell r="D202" t="str">
            <v>P006</v>
          </cell>
          <cell r="E202">
            <v>1</v>
          </cell>
        </row>
        <row r="203">
          <cell r="D203" t="str">
            <v>P006</v>
          </cell>
          <cell r="E203">
            <v>1</v>
          </cell>
        </row>
        <row r="204">
          <cell r="D204" t="str">
            <v>P001</v>
          </cell>
          <cell r="E204">
            <v>1</v>
          </cell>
        </row>
        <row r="205">
          <cell r="D205" t="str">
            <v>P003</v>
          </cell>
          <cell r="E205">
            <v>1</v>
          </cell>
        </row>
        <row r="206">
          <cell r="D206" t="str">
            <v>P006</v>
          </cell>
          <cell r="E206">
            <v>3</v>
          </cell>
        </row>
        <row r="207">
          <cell r="D207" t="str">
            <v>P001</v>
          </cell>
          <cell r="E207">
            <v>2</v>
          </cell>
        </row>
        <row r="208">
          <cell r="D208" t="str">
            <v>P005</v>
          </cell>
          <cell r="E208">
            <v>3</v>
          </cell>
        </row>
        <row r="209">
          <cell r="D209" t="str">
            <v>P002</v>
          </cell>
          <cell r="E209">
            <v>4</v>
          </cell>
        </row>
        <row r="210">
          <cell r="D210" t="str">
            <v>P005</v>
          </cell>
          <cell r="E210">
            <v>4</v>
          </cell>
        </row>
        <row r="211">
          <cell r="D211" t="str">
            <v>P002</v>
          </cell>
          <cell r="E211">
            <v>4</v>
          </cell>
        </row>
        <row r="212">
          <cell r="D212" t="str">
            <v>P004</v>
          </cell>
          <cell r="E212">
            <v>3</v>
          </cell>
        </row>
        <row r="213">
          <cell r="D213" t="str">
            <v>P001</v>
          </cell>
          <cell r="E213">
            <v>1</v>
          </cell>
        </row>
        <row r="214">
          <cell r="D214" t="str">
            <v>P001</v>
          </cell>
          <cell r="E214">
            <v>2</v>
          </cell>
        </row>
        <row r="215">
          <cell r="D215" t="str">
            <v>P005</v>
          </cell>
          <cell r="E215">
            <v>2</v>
          </cell>
        </row>
        <row r="216">
          <cell r="D216" t="str">
            <v>P006</v>
          </cell>
          <cell r="E216">
            <v>1</v>
          </cell>
        </row>
        <row r="217">
          <cell r="D217" t="str">
            <v>P003</v>
          </cell>
          <cell r="E217">
            <v>2</v>
          </cell>
        </row>
        <row r="218">
          <cell r="D218" t="str">
            <v>P005</v>
          </cell>
          <cell r="E218">
            <v>3</v>
          </cell>
        </row>
        <row r="219">
          <cell r="D219" t="str">
            <v>P001</v>
          </cell>
          <cell r="E219">
            <v>3</v>
          </cell>
        </row>
        <row r="220">
          <cell r="D220" t="str">
            <v>P002</v>
          </cell>
          <cell r="E220">
            <v>4</v>
          </cell>
        </row>
        <row r="221">
          <cell r="D221" t="str">
            <v>P003</v>
          </cell>
          <cell r="E221">
            <v>4</v>
          </cell>
        </row>
      </sheetData>
      <sheetData sheetId="2">
        <row r="1">
          <cell r="C1" t="str">
            <v>ProductID</v>
          </cell>
        </row>
        <row r="2">
          <cell r="C2" t="str">
            <v>P004</v>
          </cell>
        </row>
        <row r="3">
          <cell r="C3" t="str">
            <v>P001</v>
          </cell>
        </row>
        <row r="4">
          <cell r="C4" t="str">
            <v>P006</v>
          </cell>
        </row>
        <row r="5">
          <cell r="C5" t="str">
            <v>P002</v>
          </cell>
        </row>
        <row r="6">
          <cell r="C6" t="str">
            <v>P002</v>
          </cell>
        </row>
        <row r="7">
          <cell r="C7" t="str">
            <v>P003</v>
          </cell>
        </row>
        <row r="8">
          <cell r="C8" t="str">
            <v>P004</v>
          </cell>
        </row>
        <row r="9">
          <cell r="C9" t="str">
            <v>P006</v>
          </cell>
        </row>
        <row r="10">
          <cell r="C10" t="str">
            <v>P002</v>
          </cell>
        </row>
        <row r="11">
          <cell r="C11" t="str">
            <v>P003</v>
          </cell>
        </row>
        <row r="12">
          <cell r="C12" t="str">
            <v>P001</v>
          </cell>
        </row>
        <row r="13">
          <cell r="C13" t="str">
            <v>P003</v>
          </cell>
        </row>
        <row r="14">
          <cell r="C14" t="str">
            <v>P006</v>
          </cell>
        </row>
        <row r="15">
          <cell r="C15" t="str">
            <v>P001</v>
          </cell>
        </row>
        <row r="16">
          <cell r="C16" t="str">
            <v>P005</v>
          </cell>
        </row>
        <row r="17">
          <cell r="C17" t="str">
            <v>P002</v>
          </cell>
        </row>
        <row r="18">
          <cell r="C18" t="str">
            <v>P006</v>
          </cell>
        </row>
        <row r="19">
          <cell r="C19" t="str">
            <v>P003</v>
          </cell>
        </row>
        <row r="20">
          <cell r="C20" t="str">
            <v>P002</v>
          </cell>
        </row>
        <row r="21">
          <cell r="C21" t="str">
            <v>P006</v>
          </cell>
        </row>
        <row r="22">
          <cell r="C22" t="str">
            <v>P001</v>
          </cell>
        </row>
        <row r="23">
          <cell r="C23" t="str">
            <v>P001</v>
          </cell>
        </row>
        <row r="24">
          <cell r="C24" t="str">
            <v>P003</v>
          </cell>
        </row>
        <row r="25">
          <cell r="C25" t="str">
            <v>P001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defaultColWidth="14.42578125" defaultRowHeight="15" customHeight="1" x14ac:dyDescent="0.25"/>
  <cols>
    <col min="1" max="1" width="100.5703125" customWidth="1"/>
    <col min="2" max="26" width="8.7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7" spans="1:1" x14ac:dyDescent="0.25">
      <c r="A17" s="3" t="s">
        <v>15</v>
      </c>
    </row>
    <row r="18" spans="1:1" x14ac:dyDescent="0.25">
      <c r="A18" s="4"/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&amp;C_x000D_#000000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2578125" defaultRowHeight="15" customHeight="1" x14ac:dyDescent="0.25"/>
  <cols>
    <col min="1" max="1" width="10.42578125" bestFit="1" customWidth="1"/>
    <col min="2" max="4" width="8.7109375" customWidth="1"/>
    <col min="5" max="5" width="13.5703125" bestFit="1" customWidth="1"/>
    <col min="6" max="6" width="15.85546875" bestFit="1" customWidth="1"/>
    <col min="7" max="7" width="12.42578125" bestFit="1" customWidth="1"/>
    <col min="8" max="8" width="12.85546875" bestFit="1" customWidth="1"/>
    <col min="9" max="26" width="8.7109375" customWidth="1"/>
  </cols>
  <sheetData>
    <row r="1" spans="1:12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L1" s="8"/>
    </row>
    <row r="2" spans="1:12" x14ac:dyDescent="0.25">
      <c r="A2" s="9" t="s">
        <v>25</v>
      </c>
      <c r="B2" s="9" t="s">
        <v>26</v>
      </c>
      <c r="C2" s="9" t="s">
        <v>27</v>
      </c>
      <c r="D2" s="9">
        <v>4</v>
      </c>
      <c r="E2" s="7">
        <f>_xll.XLOOKUP(B2&amp;C2,[1]PriceList!$D:$D,[1]PriceList!$C:$C)</f>
        <v>169224</v>
      </c>
      <c r="F2" t="str">
        <f>_xll.XLOOKUP(C2,[1]Products!$A:$A,[1]Products!$B:$B)</f>
        <v>Mouse Wireless</v>
      </c>
      <c r="G2" s="10" t="str">
        <f>IF(COUNTIF([1]Products!$A:$A,C2)&gt;0,"Valid","Invalid")</f>
        <v>Valid</v>
      </c>
      <c r="H2" s="7">
        <f>D2*E2</f>
        <v>676896</v>
      </c>
      <c r="I2" s="10" t="str">
        <f>IF(COUNTIF([1]Stores!$A:$A,B2)&gt;0,"Valid","Invalid")</f>
        <v>Valid</v>
      </c>
    </row>
    <row r="3" spans="1:12" x14ac:dyDescent="0.25">
      <c r="A3" s="9" t="s">
        <v>28</v>
      </c>
      <c r="B3" s="9" t="s">
        <v>29</v>
      </c>
      <c r="C3" s="9" t="s">
        <v>30</v>
      </c>
      <c r="D3" s="9">
        <v>2</v>
      </c>
      <c r="E3" s="7">
        <f>_xll.XLOOKUP(B3&amp;C3,[1]PriceList!$D:$D,[1]PriceList!$C:$C)</f>
        <v>532597</v>
      </c>
      <c r="F3" t="str">
        <f>_xll.XLOOKUP(C3,[1]Products!$A:$A,[1]Products!$B:$B)</f>
        <v>Headset Gaming</v>
      </c>
      <c r="G3" s="10" t="str">
        <f>IF(COUNTIF([1]Products!$A:$A,C3)&gt;0,"Valid","Invalid")</f>
        <v>Valid</v>
      </c>
      <c r="H3" s="7">
        <f t="shared" ref="H3:H11" si="0">D3*E3</f>
        <v>1065194</v>
      </c>
      <c r="I3" s="10" t="str">
        <f>IF(COUNTIF([1]Stores!$A:$A,B3)&gt;0,"Valid","Invalid")</f>
        <v>Valid</v>
      </c>
    </row>
    <row r="4" spans="1:12" x14ac:dyDescent="0.25">
      <c r="A4" s="9" t="s">
        <v>31</v>
      </c>
      <c r="B4" s="9" t="s">
        <v>32</v>
      </c>
      <c r="C4" s="9" t="s">
        <v>30</v>
      </c>
      <c r="D4" s="9">
        <v>5</v>
      </c>
      <c r="E4" s="7">
        <f>_xll.XLOOKUP(B4&amp;C4,[1]PriceList!$D:$D,[1]PriceList!$C:$C)</f>
        <v>524199</v>
      </c>
      <c r="F4" t="str">
        <f>_xll.XLOOKUP(C4,[1]Products!$A:$A,[1]Products!$B:$B)</f>
        <v>Headset Gaming</v>
      </c>
      <c r="G4" s="10" t="str">
        <f>IF(COUNTIF([1]Products!$A:$A,C4)&gt;0,"Valid","Invalid")</f>
        <v>Valid</v>
      </c>
      <c r="H4" s="7">
        <f t="shared" si="0"/>
        <v>2620995</v>
      </c>
      <c r="I4" s="10" t="str">
        <f>IF(COUNTIF([1]Stores!$A:$A,B4)&gt;0,"Valid","Invalid")</f>
        <v>Valid</v>
      </c>
    </row>
    <row r="5" spans="1:12" x14ac:dyDescent="0.25">
      <c r="A5" s="9" t="s">
        <v>33</v>
      </c>
      <c r="B5" s="9" t="s">
        <v>34</v>
      </c>
      <c r="C5" s="9" t="s">
        <v>35</v>
      </c>
      <c r="D5" s="9">
        <v>4</v>
      </c>
      <c r="E5" s="7">
        <f>_xll.XLOOKUP(B5&amp;C5,[1]PriceList!$D:$D,[1]PriceList!$C:$C)</f>
        <v>338604</v>
      </c>
      <c r="F5" t="str">
        <f>_xll.XLOOKUP(C5,[1]Products!$A:$A,[1]Products!$B:$B)</f>
        <v>Webcam HD</v>
      </c>
      <c r="G5" s="10" t="str">
        <f>IF(COUNTIF([1]Products!$A:$A,C5)&gt;0,"Valid","Invalid")</f>
        <v>Valid</v>
      </c>
      <c r="H5" s="7">
        <f t="shared" si="0"/>
        <v>1354416</v>
      </c>
      <c r="I5" s="10" t="str">
        <f>IF(COUNTIF([1]Stores!$A:$A,B5)&gt;0,"Valid","Invalid")</f>
        <v>Valid</v>
      </c>
    </row>
    <row r="6" spans="1:12" x14ac:dyDescent="0.25">
      <c r="A6" s="9" t="s">
        <v>36</v>
      </c>
      <c r="B6" s="9" t="s">
        <v>29</v>
      </c>
      <c r="C6" s="9" t="s">
        <v>37</v>
      </c>
      <c r="D6" s="9">
        <v>1</v>
      </c>
      <c r="E6" s="7">
        <f>_xll.XLOOKUP(B6&amp;C6,[1]PriceList!$D:$D,[1]PriceList!$C:$C)</f>
        <v>86241</v>
      </c>
      <c r="F6" t="str">
        <f>_xll.XLOOKUP(C6,[1]Products!$A:$A,[1]Products!$B:$B)</f>
        <v>Mousepad XXL</v>
      </c>
      <c r="G6" s="10" t="str">
        <f>IF(COUNTIF([1]Products!$A:$A,C6)&gt;0,"Valid","Invalid")</f>
        <v>Valid</v>
      </c>
      <c r="H6" s="7">
        <f t="shared" si="0"/>
        <v>86241</v>
      </c>
      <c r="I6" s="10" t="str">
        <f>IF(COUNTIF([1]Stores!$A:$A,B6)&gt;0,"Valid","Invalid")</f>
        <v>Valid</v>
      </c>
    </row>
    <row r="7" spans="1:12" x14ac:dyDescent="0.25">
      <c r="A7" s="9" t="s">
        <v>38</v>
      </c>
      <c r="B7" s="9" t="s">
        <v>26</v>
      </c>
      <c r="C7" s="9" t="s">
        <v>27</v>
      </c>
      <c r="D7" s="9">
        <v>5</v>
      </c>
      <c r="E7" s="7">
        <f>_xll.XLOOKUP(B7&amp;C7,[1]PriceList!$D:$D,[1]PriceList!$C:$C)</f>
        <v>169224</v>
      </c>
      <c r="F7" t="str">
        <f>_xll.XLOOKUP(C7,[1]Products!$A:$A,[1]Products!$B:$B)</f>
        <v>Mouse Wireless</v>
      </c>
      <c r="G7" s="10" t="str">
        <f>IF(COUNTIF([1]Products!$A:$A,C7)&gt;0,"Valid","Invalid")</f>
        <v>Valid</v>
      </c>
      <c r="H7" s="7">
        <f t="shared" si="0"/>
        <v>846120</v>
      </c>
      <c r="I7" s="10" t="str">
        <f>IF(COUNTIF([1]Stores!$A:$A,B7)&gt;0,"Valid","Invalid")</f>
        <v>Valid</v>
      </c>
    </row>
    <row r="8" spans="1:12" x14ac:dyDescent="0.25">
      <c r="A8" s="9" t="s">
        <v>39</v>
      </c>
      <c r="B8" s="9" t="s">
        <v>32</v>
      </c>
      <c r="C8" s="9" t="s">
        <v>30</v>
      </c>
      <c r="D8" s="9">
        <v>5</v>
      </c>
      <c r="E8" s="7">
        <f>_xll.XLOOKUP(B8&amp;C8,[1]PriceList!$D:$D,[1]PriceList!$C:$C)</f>
        <v>524199</v>
      </c>
      <c r="F8" t="str">
        <f>_xll.XLOOKUP(C8,[1]Products!$A:$A,[1]Products!$B:$B)</f>
        <v>Headset Gaming</v>
      </c>
      <c r="G8" s="10" t="str">
        <f>IF(COUNTIF([1]Products!$A:$A,C8)&gt;0,"Valid","Invalid")</f>
        <v>Valid</v>
      </c>
      <c r="H8" s="7">
        <f t="shared" si="0"/>
        <v>2620995</v>
      </c>
      <c r="I8" s="10" t="str">
        <f>IF(COUNTIF([1]Stores!$A:$A,B8)&gt;0,"Valid","Invalid")</f>
        <v>Valid</v>
      </c>
    </row>
    <row r="9" spans="1:12" x14ac:dyDescent="0.25">
      <c r="A9" s="9" t="s">
        <v>40</v>
      </c>
      <c r="B9" s="9" t="s">
        <v>29</v>
      </c>
      <c r="C9" s="9" t="s">
        <v>41</v>
      </c>
      <c r="D9" s="9">
        <v>2</v>
      </c>
      <c r="E9" s="7">
        <f>_xll.XLOOKUP(B9&amp;C9,[1]PriceList!$D:$D,[1]PriceList!$C:$C)</f>
        <v>434372</v>
      </c>
      <c r="F9" t="str">
        <f>_xll.XLOOKUP(C9,[1]Products!$A:$A,[1]Products!$B:$B)</f>
        <v>Keyboard Mecha</v>
      </c>
      <c r="G9" s="10" t="str">
        <f>IF(COUNTIF([1]Products!$A:$A,C9)&gt;0,"Valid","Invalid")</f>
        <v>Valid</v>
      </c>
      <c r="H9" s="7">
        <f t="shared" si="0"/>
        <v>868744</v>
      </c>
      <c r="I9" s="10" t="str">
        <f>IF(COUNTIF([1]Stores!$A:$A,B9)&gt;0,"Valid","Invalid")</f>
        <v>Valid</v>
      </c>
    </row>
    <row r="10" spans="1:12" x14ac:dyDescent="0.25">
      <c r="A10" s="9" t="s">
        <v>42</v>
      </c>
      <c r="B10" s="9" t="s">
        <v>34</v>
      </c>
      <c r="C10" s="9" t="s">
        <v>41</v>
      </c>
      <c r="D10" s="9">
        <v>1</v>
      </c>
      <c r="E10" s="7">
        <f>_xll.XLOOKUP(B10&amp;C10,[1]PriceList!$D:$D,[1]PriceList!$C:$C)</f>
        <v>473548</v>
      </c>
      <c r="F10" t="str">
        <f>_xll.XLOOKUP(C10,[1]Products!$A:$A,[1]Products!$B:$B)</f>
        <v>Keyboard Mecha</v>
      </c>
      <c r="G10" s="10" t="str">
        <f>IF(COUNTIF([1]Products!$A:$A,C10)&gt;0,"Valid","Invalid")</f>
        <v>Valid</v>
      </c>
      <c r="H10" s="7">
        <f t="shared" si="0"/>
        <v>473548</v>
      </c>
      <c r="I10" s="10" t="str">
        <f>IF(COUNTIF([1]Stores!$A:$A,B10)&gt;0,"Valid","Invalid")</f>
        <v>Valid</v>
      </c>
    </row>
    <row r="11" spans="1:12" x14ac:dyDescent="0.25">
      <c r="A11" s="9" t="s">
        <v>43</v>
      </c>
      <c r="B11" s="9" t="s">
        <v>32</v>
      </c>
      <c r="C11" s="9" t="s">
        <v>30</v>
      </c>
      <c r="D11" s="9">
        <v>2</v>
      </c>
      <c r="E11" s="7">
        <f>_xll.XLOOKUP(B11&amp;C11,[1]PriceList!$D:$D,[1]PriceList!$C:$C)</f>
        <v>524199</v>
      </c>
      <c r="F11" t="str">
        <f>_xll.XLOOKUP(C11,[1]Products!$A:$A,[1]Products!$B:$B)</f>
        <v>Headset Gaming</v>
      </c>
      <c r="G11" s="10" t="str">
        <f>IF(COUNTIF([1]Products!$A:$A,C11)&gt;0,"Valid","Invalid")</f>
        <v>Valid</v>
      </c>
      <c r="H11" s="7">
        <f t="shared" si="0"/>
        <v>1048398</v>
      </c>
      <c r="I11" s="10" t="str">
        <f>IF(COUNTIF([1]Stores!$A:$A,B11)&gt;0,"Valid","Invalid")</f>
        <v>Valid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headerFooter>
    <oddFooter>&amp;C_x000D_#000000 Mondelez International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2578125" defaultRowHeight="15" customHeight="1" x14ac:dyDescent="0.25"/>
  <cols>
    <col min="1" max="1" width="10.42578125" bestFit="1" customWidth="1"/>
    <col min="2" max="5" width="8.7109375" customWidth="1"/>
    <col min="6" max="6" width="11.28515625" bestFit="1" customWidth="1"/>
    <col min="7" max="7" width="10.85546875" bestFit="1" customWidth="1"/>
    <col min="8" max="8" width="10.28515625" bestFit="1" customWidth="1"/>
    <col min="9" max="9" width="8.7109375" customWidth="1"/>
    <col min="10" max="10" width="16.28515625" bestFit="1" customWidth="1"/>
    <col min="11" max="26" width="8.7109375" customWidth="1"/>
  </cols>
  <sheetData>
    <row r="1" spans="1:11" x14ac:dyDescent="0.25">
      <c r="A1" s="1" t="s">
        <v>16</v>
      </c>
      <c r="B1" s="1" t="s">
        <v>44</v>
      </c>
      <c r="C1" s="1" t="s">
        <v>45</v>
      </c>
      <c r="D1" s="1" t="s">
        <v>18</v>
      </c>
      <c r="E1" s="1" t="s">
        <v>19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24</v>
      </c>
    </row>
    <row r="2" spans="1:11" x14ac:dyDescent="0.25">
      <c r="A2" s="2" t="s">
        <v>51</v>
      </c>
      <c r="B2" s="9" t="s">
        <v>52</v>
      </c>
      <c r="C2" s="9" t="s">
        <v>53</v>
      </c>
      <c r="D2" s="9" t="s">
        <v>37</v>
      </c>
      <c r="E2" s="9">
        <v>3</v>
      </c>
      <c r="F2" s="7">
        <f>_xll.XLOOKUP(D2,[1]Products!$A:$A,[1]Products!$D:$D)</f>
        <v>95000</v>
      </c>
      <c r="G2" s="7">
        <f>_xll.XLOOKUP(C2,[1]Customers!$A:$A,[1]Customers!$E:$E,0)</f>
        <v>20000</v>
      </c>
      <c r="H2" s="10" t="str">
        <f>_xll.XLOOKUP(C2,[1]Customers!$A:$A,[1]Customers!$D:$D,"-")</f>
        <v>Silver</v>
      </c>
      <c r="I2" s="11">
        <f>IFERROR(_xlfn.IFS(H2="Gold",10%,H2="Silver",5%,H2="Bronze",0%),0)</f>
        <v>0.05</v>
      </c>
      <c r="J2" s="7">
        <f>E2*F2*(1-I2)+G2</f>
        <v>290750</v>
      </c>
      <c r="K2" s="10" t="str">
        <f>IF(COUNTIF([1]Customers!$A:$A,C2)&gt;0,"Valid","Invalid")</f>
        <v>Valid</v>
      </c>
    </row>
    <row r="3" spans="1:11" x14ac:dyDescent="0.25">
      <c r="A3" s="2" t="s">
        <v>54</v>
      </c>
      <c r="B3" s="9" t="s">
        <v>55</v>
      </c>
      <c r="C3" s="9" t="s">
        <v>56</v>
      </c>
      <c r="D3" s="9" t="s">
        <v>27</v>
      </c>
      <c r="E3" s="9">
        <v>3</v>
      </c>
      <c r="F3" s="7">
        <f>_xll.XLOOKUP(D3,[1]Products!$A:$A,[1]Products!$D:$D)</f>
        <v>185000</v>
      </c>
      <c r="G3" s="7">
        <f>_xll.XLOOKUP(C3,[1]Customers!$A:$A,[1]Customers!$E:$E,0)</f>
        <v>15000</v>
      </c>
      <c r="H3" s="10" t="str">
        <f>_xll.XLOOKUP(C3,[1]Customers!$A:$A,[1]Customers!$D:$D,"-")</f>
        <v>Gold</v>
      </c>
      <c r="I3" s="11">
        <f t="shared" ref="I3:I11" si="0">IFERROR(_xlfn.IFS(H3="Gold",10%,H3="Silver",5%,H3="Bronze",0%),0)</f>
        <v>0.1</v>
      </c>
      <c r="J3" s="7">
        <f t="shared" ref="J3:J11" si="1">E3*F3*(1-I3)+G3</f>
        <v>514500</v>
      </c>
      <c r="K3" s="10" t="str">
        <f>IF(COUNTIF([1]Customers!$A:$A,C3)&gt;0,"Valid","Invalid")</f>
        <v>Valid</v>
      </c>
    </row>
    <row r="4" spans="1:11" x14ac:dyDescent="0.25">
      <c r="A4" s="2" t="s">
        <v>57</v>
      </c>
      <c r="B4" s="9" t="s">
        <v>58</v>
      </c>
      <c r="C4" s="9" t="s">
        <v>59</v>
      </c>
      <c r="D4" s="9" t="s">
        <v>60</v>
      </c>
      <c r="E4" s="9">
        <v>1</v>
      </c>
      <c r="F4" s="7">
        <f>_xll.XLOOKUP(D4,[1]Products!$A:$A,[1]Products!$D:$D)</f>
        <v>215000</v>
      </c>
      <c r="G4" s="7">
        <f>_xll.XLOOKUP(C4,[1]Customers!$A:$A,[1]Customers!$E:$E,0)</f>
        <v>25000</v>
      </c>
      <c r="H4" s="10" t="str">
        <f>_xll.XLOOKUP(C4,[1]Customers!$A:$A,[1]Customers!$D:$D,"-")</f>
        <v>Bronze</v>
      </c>
      <c r="I4" s="11">
        <f t="shared" si="0"/>
        <v>0</v>
      </c>
      <c r="J4" s="7">
        <f t="shared" si="1"/>
        <v>240000</v>
      </c>
      <c r="K4" s="10" t="str">
        <f>IF(COUNTIF([1]Customers!$A:$A,C4)&gt;0,"Valid","Invalid")</f>
        <v>Valid</v>
      </c>
    </row>
    <row r="5" spans="1:11" x14ac:dyDescent="0.25">
      <c r="A5" s="2" t="s">
        <v>57</v>
      </c>
      <c r="B5" s="9" t="s">
        <v>61</v>
      </c>
      <c r="C5" s="9" t="s">
        <v>62</v>
      </c>
      <c r="D5" s="9" t="s">
        <v>41</v>
      </c>
      <c r="E5" s="9">
        <v>2</v>
      </c>
      <c r="F5" s="7">
        <f>_xll.XLOOKUP(D5,[1]Products!$A:$A,[1]Products!$D:$D)</f>
        <v>450000</v>
      </c>
      <c r="G5" s="7">
        <f>_xll.XLOOKUP(C5,[1]Customers!$A:$A,[1]Customers!$E:$E,0)</f>
        <v>24000</v>
      </c>
      <c r="H5" s="10" t="str">
        <f>_xll.XLOOKUP(C5,[1]Customers!$A:$A,[1]Customers!$D:$D,"-")</f>
        <v>Silver</v>
      </c>
      <c r="I5" s="11">
        <f t="shared" si="0"/>
        <v>0.05</v>
      </c>
      <c r="J5" s="7">
        <f t="shared" si="1"/>
        <v>879000</v>
      </c>
      <c r="K5" s="10" t="str">
        <f>IF(COUNTIF([1]Customers!$A:$A,C5)&gt;0,"Valid","Invalid")</f>
        <v>Valid</v>
      </c>
    </row>
    <row r="6" spans="1:11" x14ac:dyDescent="0.25">
      <c r="A6" s="2" t="s">
        <v>40</v>
      </c>
      <c r="B6" s="9" t="s">
        <v>63</v>
      </c>
      <c r="C6" s="9" t="s">
        <v>64</v>
      </c>
      <c r="D6" s="9" t="s">
        <v>37</v>
      </c>
      <c r="E6" s="9">
        <v>4</v>
      </c>
      <c r="F6" s="7">
        <f>_xll.XLOOKUP(D6,[1]Products!$A:$A,[1]Products!$D:$D)</f>
        <v>95000</v>
      </c>
      <c r="G6" s="7">
        <f>_xll.XLOOKUP(C6,[1]Customers!$A:$A,[1]Customers!$E:$E,0)</f>
        <v>22000</v>
      </c>
      <c r="H6" s="10" t="str">
        <f>_xll.XLOOKUP(C6,[1]Customers!$A:$A,[1]Customers!$D:$D,"-")</f>
        <v>Gold</v>
      </c>
      <c r="I6" s="11">
        <f t="shared" si="0"/>
        <v>0.1</v>
      </c>
      <c r="J6" s="7">
        <f t="shared" si="1"/>
        <v>364000</v>
      </c>
      <c r="K6" s="10" t="str">
        <f>IF(COUNTIF([1]Customers!$A:$A,C6)&gt;0,"Valid","Invalid")</f>
        <v>Valid</v>
      </c>
    </row>
    <row r="7" spans="1:11" x14ac:dyDescent="0.25">
      <c r="A7" s="2" t="s">
        <v>65</v>
      </c>
      <c r="B7" s="9" t="s">
        <v>66</v>
      </c>
      <c r="C7" s="9" t="s">
        <v>67</v>
      </c>
      <c r="D7" s="9" t="s">
        <v>27</v>
      </c>
      <c r="E7" s="9">
        <v>4</v>
      </c>
      <c r="F7" s="7">
        <f>_xll.XLOOKUP(D7,[1]Products!$A:$A,[1]Products!$D:$D)</f>
        <v>185000</v>
      </c>
      <c r="G7" s="7">
        <f>_xll.XLOOKUP(C7,[1]Customers!$A:$A,[1]Customers!$E:$E,0)</f>
        <v>0</v>
      </c>
      <c r="H7" s="10" t="str">
        <f>_xll.XLOOKUP(C7,[1]Customers!$A:$A,[1]Customers!$D:$D,"-")</f>
        <v>-</v>
      </c>
      <c r="I7" s="11">
        <f t="shared" si="0"/>
        <v>0</v>
      </c>
      <c r="J7" s="7">
        <f t="shared" si="1"/>
        <v>740000</v>
      </c>
      <c r="K7" s="10" t="str">
        <f>IF(COUNTIF([1]Customers!$A:$A,C7)&gt;0,"Valid","Invalid")</f>
        <v>Invalid</v>
      </c>
    </row>
    <row r="8" spans="1:11" x14ac:dyDescent="0.25">
      <c r="A8" s="2" t="s">
        <v>39</v>
      </c>
      <c r="B8" s="9" t="s">
        <v>68</v>
      </c>
      <c r="C8" s="9" t="s">
        <v>62</v>
      </c>
      <c r="D8" s="9" t="s">
        <v>30</v>
      </c>
      <c r="E8" s="9">
        <v>2</v>
      </c>
      <c r="F8" s="7">
        <f>_xll.XLOOKUP(D8,[1]Products!$A:$A,[1]Products!$D:$D)</f>
        <v>520000</v>
      </c>
      <c r="G8" s="7">
        <f>_xll.XLOOKUP(C8,[1]Customers!$A:$A,[1]Customers!$E:$E,0)</f>
        <v>24000</v>
      </c>
      <c r="H8" s="10" t="str">
        <f>_xll.XLOOKUP(C8,[1]Customers!$A:$A,[1]Customers!$D:$D,"-")</f>
        <v>Silver</v>
      </c>
      <c r="I8" s="11">
        <f t="shared" si="0"/>
        <v>0.05</v>
      </c>
      <c r="J8" s="7">
        <f t="shared" si="1"/>
        <v>1012000</v>
      </c>
      <c r="K8" s="10" t="str">
        <f>IF(COUNTIF([1]Customers!$A:$A,C8)&gt;0,"Valid","Invalid")</f>
        <v>Valid</v>
      </c>
    </row>
    <row r="9" spans="1:11" x14ac:dyDescent="0.25">
      <c r="A9" s="2" t="s">
        <v>69</v>
      </c>
      <c r="B9" s="9" t="s">
        <v>70</v>
      </c>
      <c r="C9" s="9" t="s">
        <v>62</v>
      </c>
      <c r="D9" s="9" t="s">
        <v>60</v>
      </c>
      <c r="E9" s="9">
        <v>1</v>
      </c>
      <c r="F9" s="7">
        <f>_xll.XLOOKUP(D9,[1]Products!$A:$A,[1]Products!$D:$D)</f>
        <v>215000</v>
      </c>
      <c r="G9" s="7">
        <f>_xll.XLOOKUP(C9,[1]Customers!$A:$A,[1]Customers!$E:$E,0)</f>
        <v>24000</v>
      </c>
      <c r="H9" s="10" t="str">
        <f>_xll.XLOOKUP(C9,[1]Customers!$A:$A,[1]Customers!$D:$D,"-")</f>
        <v>Silver</v>
      </c>
      <c r="I9" s="11">
        <f t="shared" si="0"/>
        <v>0.05</v>
      </c>
      <c r="J9" s="7">
        <f t="shared" si="1"/>
        <v>228250</v>
      </c>
      <c r="K9" s="10" t="str">
        <f>IF(COUNTIF([1]Customers!$A:$A,C9)&gt;0,"Valid","Invalid")</f>
        <v>Valid</v>
      </c>
    </row>
    <row r="10" spans="1:11" x14ac:dyDescent="0.25">
      <c r="A10" s="2" t="s">
        <v>71</v>
      </c>
      <c r="B10" s="9" t="s">
        <v>72</v>
      </c>
      <c r="C10" s="9" t="s">
        <v>62</v>
      </c>
      <c r="D10" s="9" t="s">
        <v>27</v>
      </c>
      <c r="E10" s="9">
        <v>1</v>
      </c>
      <c r="F10" s="7">
        <f>_xll.XLOOKUP(D10,[1]Products!$A:$A,[1]Products!$D:$D)</f>
        <v>185000</v>
      </c>
      <c r="G10" s="7">
        <f>_xll.XLOOKUP(C10,[1]Customers!$A:$A,[1]Customers!$E:$E,0)</f>
        <v>24000</v>
      </c>
      <c r="H10" s="10" t="str">
        <f>_xll.XLOOKUP(C10,[1]Customers!$A:$A,[1]Customers!$D:$D,"-")</f>
        <v>Silver</v>
      </c>
      <c r="I10" s="11">
        <f t="shared" si="0"/>
        <v>0.05</v>
      </c>
      <c r="J10" s="7">
        <f t="shared" si="1"/>
        <v>199750</v>
      </c>
      <c r="K10" s="10" t="str">
        <f>IF(COUNTIF([1]Customers!$A:$A,C10)&gt;0,"Valid","Invalid")</f>
        <v>Valid</v>
      </c>
    </row>
    <row r="11" spans="1:11" x14ac:dyDescent="0.25">
      <c r="A11" s="2" t="s">
        <v>73</v>
      </c>
      <c r="B11" s="9" t="s">
        <v>74</v>
      </c>
      <c r="C11" s="9" t="s">
        <v>59</v>
      </c>
      <c r="D11" s="9" t="s">
        <v>37</v>
      </c>
      <c r="E11" s="9">
        <v>1</v>
      </c>
      <c r="F11" s="7">
        <f>_xll.XLOOKUP(D11,[1]Products!$A:$A,[1]Products!$D:$D)</f>
        <v>95000</v>
      </c>
      <c r="G11" s="7">
        <f>_xll.XLOOKUP(C11,[1]Customers!$A:$A,[1]Customers!$E:$E,0)</f>
        <v>25000</v>
      </c>
      <c r="H11" s="10" t="str">
        <f>_xll.XLOOKUP(C11,[1]Customers!$A:$A,[1]Customers!$D:$D,"-")</f>
        <v>Bronze</v>
      </c>
      <c r="I11" s="11">
        <f t="shared" si="0"/>
        <v>0</v>
      </c>
      <c r="J11" s="7">
        <f t="shared" si="1"/>
        <v>120000</v>
      </c>
      <c r="K11" s="10" t="str">
        <f>IF(COUNTIF([1]Customers!$A:$A,C11)&gt;0,"Valid","Invalid")</f>
        <v>Valid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&amp;C_x000D_#000000 Mondelez International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16" customWidth="1"/>
    <col min="3" max="3" width="20.85546875" style="5" customWidth="1"/>
    <col min="4" max="4" width="9.7109375" customWidth="1"/>
    <col min="5" max="5" width="11" customWidth="1"/>
    <col min="6" max="6" width="15.140625" bestFit="1" customWidth="1"/>
    <col min="7" max="26" width="8.7109375" customWidth="1"/>
  </cols>
  <sheetData>
    <row r="1" spans="1:6" x14ac:dyDescent="0.25">
      <c r="A1" s="1" t="s">
        <v>17</v>
      </c>
      <c r="B1" s="1" t="s">
        <v>75</v>
      </c>
      <c r="C1" s="6" t="s">
        <v>76</v>
      </c>
      <c r="D1" s="1" t="s">
        <v>77</v>
      </c>
      <c r="E1" s="1" t="s">
        <v>78</v>
      </c>
      <c r="F1" s="1" t="s">
        <v>79</v>
      </c>
    </row>
    <row r="2" spans="1:6" x14ac:dyDescent="0.25">
      <c r="A2" s="9" t="s">
        <v>32</v>
      </c>
      <c r="B2" s="10">
        <f>SUMIFS([2]Sales_Offline!$D:$D,[2]Sales_Offline!$B:$B,A2,[2]Sales_Offline!$A:$A,"&gt;=01/07/2025",[2]Sales_Offline!$A:$A,"&lt;=31/07/2025")</f>
        <v>85</v>
      </c>
      <c r="C2" s="7">
        <f>SUMIFS([2]Sales_Offline!$F:$F,[2]Sales_Offline!$B:$B,A2,[2]Sales_Offline!$A:$A,"&gt;=01/07/2025",[2]Sales_Offline!$A:$A,"&lt;=31/07/2025")</f>
        <v>21277697</v>
      </c>
      <c r="D2" s="9">
        <v>110</v>
      </c>
      <c r="E2" s="12">
        <f>B2/D2</f>
        <v>0.77272727272727271</v>
      </c>
      <c r="F2" s="10" t="str">
        <f>_xlfn.IFS(E2&gt;=100%,"Lulus",E2&gt;=80%,"Hampir",E2&lt;80%,"Perlu Perbaikan")</f>
        <v>Perlu Perbaikan</v>
      </c>
    </row>
    <row r="3" spans="1:6" x14ac:dyDescent="0.25">
      <c r="A3" s="9" t="s">
        <v>29</v>
      </c>
      <c r="B3" s="10">
        <f>SUMIFS([2]Sales_Offline!$D:$D,[2]Sales_Offline!$B:$B,A3,[2]Sales_Offline!$A:$A,"&gt;=01/07/2025",[2]Sales_Offline!$A:$A,"&lt;=31/07/2025")</f>
        <v>102</v>
      </c>
      <c r="C3" s="7">
        <f>SUMIFS([2]Sales_Offline!$F:$F,[2]Sales_Offline!$B:$B,A3,[2]Sales_Offline!$A:$A,"&gt;=01/07/2025",[2]Sales_Offline!$A:$A,"&lt;=31/07/2025")</f>
        <v>29181994</v>
      </c>
      <c r="D3" s="9">
        <v>140</v>
      </c>
      <c r="E3" s="12">
        <f t="shared" ref="E3:E5" si="0">B3/D3</f>
        <v>0.72857142857142854</v>
      </c>
      <c r="F3" s="10" t="str">
        <f t="shared" ref="F3:F5" si="1">_xlfn.IFS(E3&gt;=100%,"Lulus",E3&gt;=80%,"Hampir",E3&lt;80%,"Perlu Perbaikan")</f>
        <v>Perlu Perbaikan</v>
      </c>
    </row>
    <row r="4" spans="1:6" x14ac:dyDescent="0.25">
      <c r="A4" s="9" t="s">
        <v>26</v>
      </c>
      <c r="B4" s="10">
        <f>SUMIFS([2]Sales_Offline!$D:$D,[2]Sales_Offline!$B:$B,A4,[2]Sales_Offline!$A:$A,"&gt;=01/07/2025",[2]Sales_Offline!$A:$A,"&lt;=31/07/2025")</f>
        <v>82</v>
      </c>
      <c r="C4" s="7">
        <f>SUMIFS([2]Sales_Offline!$F:$F,[2]Sales_Offline!$B:$B,A4,[2]Sales_Offline!$A:$A,"&gt;=01/07/2025",[2]Sales_Offline!$A:$A,"&lt;=31/07/2025")</f>
        <v>24326336</v>
      </c>
      <c r="D4" s="9">
        <v>90</v>
      </c>
      <c r="E4" s="12">
        <f t="shared" si="0"/>
        <v>0.91111111111111109</v>
      </c>
      <c r="F4" s="10" t="str">
        <f t="shared" si="1"/>
        <v>Hampir</v>
      </c>
    </row>
    <row r="5" spans="1:6" x14ac:dyDescent="0.25">
      <c r="A5" s="9" t="s">
        <v>34</v>
      </c>
      <c r="B5" s="10">
        <f>SUMIFS([2]Sales_Offline!$D:$D,[2]Sales_Offline!$B:$B,A5,[2]Sales_Offline!$A:$A,"&gt;=01/07/2025",[2]Sales_Offline!$A:$A,"&lt;=31/07/2025")</f>
        <v>129</v>
      </c>
      <c r="C5" s="7">
        <f>SUMIFS([2]Sales_Offline!$F:$F,[2]Sales_Offline!$B:$B,A5,[2]Sales_Offline!$A:$A,"&gt;=01/07/2025",[2]Sales_Offline!$A:$A,"&lt;=31/07/2025")</f>
        <v>33409238</v>
      </c>
      <c r="D5" s="9">
        <v>85</v>
      </c>
      <c r="E5" s="12">
        <f t="shared" si="0"/>
        <v>1.5176470588235293</v>
      </c>
      <c r="F5" s="10" t="str">
        <f t="shared" si="1"/>
        <v>Lulus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&amp;C_x000D_#000000 Mondelez International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5.7109375" bestFit="1" customWidth="1"/>
    <col min="3" max="3" width="12.28515625" bestFit="1" customWidth="1"/>
    <col min="4" max="4" width="13.7109375" bestFit="1" customWidth="1"/>
    <col min="5" max="26" width="8.7109375" customWidth="1"/>
  </cols>
  <sheetData>
    <row r="1" spans="1:5" x14ac:dyDescent="0.25">
      <c r="A1" s="1" t="s">
        <v>18</v>
      </c>
      <c r="B1" s="1" t="s">
        <v>80</v>
      </c>
      <c r="C1" s="1" t="s">
        <v>81</v>
      </c>
      <c r="D1" s="1" t="s">
        <v>82</v>
      </c>
      <c r="E1" s="1" t="s">
        <v>79</v>
      </c>
    </row>
    <row r="2" spans="1:5" x14ac:dyDescent="0.25">
      <c r="A2" s="9" t="s">
        <v>41</v>
      </c>
      <c r="B2" s="10">
        <f>SUMIF([2]Orders_Online!$D:$D,A2,[2]Orders_Online!$E:$E)</f>
        <v>105</v>
      </c>
      <c r="C2" s="10">
        <f>COUNTIF([2]Returns!$C:$C,A2)</f>
        <v>6</v>
      </c>
      <c r="D2" s="13">
        <f>C2/B2</f>
        <v>5.7142857142857141E-2</v>
      </c>
      <c r="E2" s="10" t="str">
        <f>_xlfn.IFS(D2&lt;3%,"Low",D2&lt;=5%,"Mid",D2&gt;5%,"High")</f>
        <v>High</v>
      </c>
    </row>
    <row r="3" spans="1:5" x14ac:dyDescent="0.25">
      <c r="A3" s="9" t="s">
        <v>27</v>
      </c>
      <c r="B3" s="10">
        <f>SUMIF([2]Orders_Online!$D:$D,A3,[2]Orders_Online!$E:$E)</f>
        <v>93</v>
      </c>
      <c r="C3" s="10">
        <f>COUNTIF([2]Returns!$C:$C,A3)</f>
        <v>5</v>
      </c>
      <c r="D3" s="13">
        <f t="shared" ref="D3:D7" si="0">C3/B3</f>
        <v>5.3763440860215055E-2</v>
      </c>
      <c r="E3" s="10" t="str">
        <f t="shared" ref="E3:E7" si="1">_xlfn.IFS(D3&lt;3%,"Low",D3&lt;=5%,"Mid",D3&gt;5%,"High")</f>
        <v>High</v>
      </c>
    </row>
    <row r="4" spans="1:5" x14ac:dyDescent="0.25">
      <c r="A4" s="9" t="s">
        <v>30</v>
      </c>
      <c r="B4" s="10">
        <f>SUMIF([2]Orders_Online!$D:$D,A4,[2]Orders_Online!$E:$E)</f>
        <v>71</v>
      </c>
      <c r="C4" s="10">
        <f>COUNTIF([2]Returns!$C:$C,A4)</f>
        <v>5</v>
      </c>
      <c r="D4" s="13">
        <f t="shared" si="0"/>
        <v>7.0422535211267609E-2</v>
      </c>
      <c r="E4" s="10" t="str">
        <f t="shared" si="1"/>
        <v>High</v>
      </c>
    </row>
    <row r="5" spans="1:5" x14ac:dyDescent="0.25">
      <c r="A5" s="9" t="s">
        <v>35</v>
      </c>
      <c r="B5" s="10">
        <f>SUMIF([2]Orders_Online!$D:$D,A5,[2]Orders_Online!$E:$E)</f>
        <v>81</v>
      </c>
      <c r="C5" s="10">
        <f>COUNTIF([2]Returns!$C:$C,A5)</f>
        <v>2</v>
      </c>
      <c r="D5" s="13">
        <f t="shared" si="0"/>
        <v>2.4691358024691357E-2</v>
      </c>
      <c r="E5" s="10" t="str">
        <f t="shared" si="1"/>
        <v>Low</v>
      </c>
    </row>
    <row r="6" spans="1:5" x14ac:dyDescent="0.25">
      <c r="A6" s="9" t="s">
        <v>60</v>
      </c>
      <c r="B6" s="10">
        <f>SUMIF([2]Orders_Online!$D:$D,A6,[2]Orders_Online!$E:$E)</f>
        <v>98</v>
      </c>
      <c r="C6" s="10">
        <f>COUNTIF([2]Returns!$C:$C,A6)</f>
        <v>1</v>
      </c>
      <c r="D6" s="13">
        <f t="shared" si="0"/>
        <v>1.020408163265306E-2</v>
      </c>
      <c r="E6" s="10" t="str">
        <f t="shared" si="1"/>
        <v>Low</v>
      </c>
    </row>
    <row r="7" spans="1:5" x14ac:dyDescent="0.25">
      <c r="A7" s="9" t="s">
        <v>37</v>
      </c>
      <c r="B7" s="10">
        <f>SUMIF([2]Orders_Online!$D:$D,A7,[2]Orders_Online!$E:$E)</f>
        <v>84</v>
      </c>
      <c r="C7" s="10">
        <f>COUNTIF([2]Returns!$C:$C,A7)</f>
        <v>5</v>
      </c>
      <c r="D7" s="13">
        <f t="shared" si="0"/>
        <v>5.9523809523809521E-2</v>
      </c>
      <c r="E7" s="10" t="str">
        <f t="shared" si="1"/>
        <v>High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&amp;C_x000D_#000000 Mondelez International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Instruksi</vt:lpstr>
      <vt:lpstr>SALES_CALC</vt:lpstr>
      <vt:lpstr>ORDERS_CALC</vt:lpstr>
      <vt:lpstr>RINGKASAN_TOKO</vt:lpstr>
      <vt:lpstr>RINGKASAN_SKU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yeni</cp:lastModifiedBy>
  <dcterms:created xsi:type="dcterms:W3CDTF">2025-09-04T15:28:54Z</dcterms:created>
  <dcterms:modified xsi:type="dcterms:W3CDTF">2025-09-10T08:40:26Z</dcterms:modified>
</cp:coreProperties>
</file>