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eni\Downloads\CACA\EXCEL\ASSIGNMENT 1\"/>
    </mc:Choice>
  </mc:AlternateContent>
  <xr:revisionPtr revIDLastSave="0" documentId="13_ncr:1_{ADA18873-F469-4F36-86D8-4F11D52CA4FE}" xr6:coauthVersionLast="36" xr6:coauthVersionMax="47" xr10:uidLastSave="{00000000-0000-0000-0000-000000000000}"/>
  <bookViews>
    <workbookView xWindow="0" yWindow="0" windowWidth="11070" windowHeight="7320" activeTab="4" xr2:uid="{00000000-000D-0000-FFFF-FFFF00000000}"/>
  </bookViews>
  <sheets>
    <sheet name="Products" sheetId="1" r:id="rId1"/>
    <sheet name="Stores" sheetId="2" r:id="rId2"/>
    <sheet name="Customers" sheetId="3" r:id="rId3"/>
    <sheet name="ShippingRates" sheetId="4" r:id="rId4"/>
    <sheet name="PriceList" sheetId="5" r:id="rId5"/>
  </sheets>
  <calcPr calcId="191029"/>
</workbook>
</file>

<file path=xl/calcChain.xml><?xml version="1.0" encoding="utf-8"?>
<calcChain xmlns="http://schemas.openxmlformats.org/spreadsheetml/2006/main">
  <c r="D3" i="5" l="1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" i="5"/>
  <c r="E3" i="3"/>
  <c r="E5" i="3"/>
  <c r="E4" i="3"/>
  <c r="E6" i="3"/>
  <c r="E2" i="3"/>
</calcChain>
</file>

<file path=xl/sharedStrings.xml><?xml version="1.0" encoding="utf-8"?>
<sst xmlns="http://schemas.openxmlformats.org/spreadsheetml/2006/main" count="128" uniqueCount="65">
  <si>
    <t>ProductID</t>
  </si>
  <si>
    <t>NamaProduk</t>
  </si>
  <si>
    <t>Kategori</t>
  </si>
  <si>
    <t>HargaDasar_IDR</t>
  </si>
  <si>
    <t>Brand</t>
  </si>
  <si>
    <t>P001</t>
  </si>
  <si>
    <t>P002</t>
  </si>
  <si>
    <t>P003</t>
  </si>
  <si>
    <t>P004</t>
  </si>
  <si>
    <t>P005</t>
  </si>
  <si>
    <t>P006</t>
  </si>
  <si>
    <t>Keyboard Mecha</t>
  </si>
  <si>
    <t>Mouse Wireless</t>
  </si>
  <si>
    <t>Headset Gaming</t>
  </si>
  <si>
    <t>Webcam HD</t>
  </si>
  <si>
    <t>USB-C Hub</t>
  </si>
  <si>
    <t>Mousepad XXL</t>
  </si>
  <si>
    <t>Periferal</t>
  </si>
  <si>
    <t>Audio</t>
  </si>
  <si>
    <t>Video</t>
  </si>
  <si>
    <t>Aksesoris</t>
  </si>
  <si>
    <t>KeyPro</t>
  </si>
  <si>
    <t>SwiftClick</t>
  </si>
  <si>
    <t>SoundBlaze</t>
  </si>
  <si>
    <t>Visionix</t>
  </si>
  <si>
    <t>Hubster</t>
  </si>
  <si>
    <t>PadPro</t>
  </si>
  <si>
    <t>StoreID</t>
  </si>
  <si>
    <t>NamaToko</t>
  </si>
  <si>
    <t>Kota</t>
  </si>
  <si>
    <t>S01</t>
  </si>
  <si>
    <t>S02</t>
  </si>
  <si>
    <t>S03</t>
  </si>
  <si>
    <t>S04</t>
  </si>
  <si>
    <t>DigitalOne Cikini</t>
  </si>
  <si>
    <t>GadgetMart Tebet</t>
  </si>
  <si>
    <t>TeknoHub Depok</t>
  </si>
  <si>
    <t>Electra BSD</t>
  </si>
  <si>
    <t>Jakarta</t>
  </si>
  <si>
    <t>Depok</t>
  </si>
  <si>
    <t>Tangerang</t>
  </si>
  <si>
    <t>CustID</t>
  </si>
  <si>
    <t>Nama</t>
  </si>
  <si>
    <t>Tier</t>
  </si>
  <si>
    <t>C01</t>
  </si>
  <si>
    <t>C02</t>
  </si>
  <si>
    <t>C03</t>
  </si>
  <si>
    <t>C04</t>
  </si>
  <si>
    <t>C05</t>
  </si>
  <si>
    <t>Rama</t>
  </si>
  <si>
    <t>Sinta</t>
  </si>
  <si>
    <t>Budi</t>
  </si>
  <si>
    <t>Nadia</t>
  </si>
  <si>
    <t>Tono</t>
  </si>
  <si>
    <t>Bandung</t>
  </si>
  <si>
    <t>Surabaya</t>
  </si>
  <si>
    <t>Yogyakarta</t>
  </si>
  <si>
    <t>Semarang</t>
  </si>
  <si>
    <t>Gold</t>
  </si>
  <si>
    <t>Silver</t>
  </si>
  <si>
    <t>Bronze</t>
  </si>
  <si>
    <t>Ongkir_IDR</t>
  </si>
  <si>
    <t>HargaJual_IDR</t>
  </si>
  <si>
    <t>Ongkir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</si>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</sst>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3" fontId="0" fillId="0" borderId="0" xfId="0" applyNumberFormat="1"/>
    <xf numFmtId="42" fontId="1" fillId="0" borderId="1" xfId="0" applyNumberFormat="1" applyFont="1" applyBorder="1" applyAlignment="1">
      <alignment horizontal="center" vertical="top"/>
    </xf>
    <xf numFmtId="4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workbookViewId="0"/>
  </sheetViews>
  <sheetFormatPr defaultRowHeight="15" x14ac:dyDescent="0.25"/>
  <cols>
    <col min="1" max="1" width="9.7109375" bestFit="1" customWidth="1"/>
    <col min="2" max="2" width="15.85546875" bestFit="1" customWidth="1"/>
    <col min="3" max="3" width="9.42578125" bestFit="1" customWidth="1"/>
    <col min="4" max="4" width="15" bestFit="1" customWidth="1"/>
    <col min="5" max="5" width="11.28515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11</v>
      </c>
      <c r="C2" t="s">
        <v>17</v>
      </c>
      <c r="D2">
        <v>450000</v>
      </c>
      <c r="E2" t="s">
        <v>21</v>
      </c>
    </row>
    <row r="3" spans="1:5" x14ac:dyDescent="0.25">
      <c r="A3" t="s">
        <v>6</v>
      </c>
      <c r="B3" t="s">
        <v>12</v>
      </c>
      <c r="C3" t="s">
        <v>17</v>
      </c>
      <c r="D3">
        <v>185000</v>
      </c>
      <c r="E3" t="s">
        <v>22</v>
      </c>
    </row>
    <row r="4" spans="1:5" x14ac:dyDescent="0.25">
      <c r="A4" t="s">
        <v>7</v>
      </c>
      <c r="B4" t="s">
        <v>13</v>
      </c>
      <c r="C4" t="s">
        <v>18</v>
      </c>
      <c r="D4">
        <v>520000</v>
      </c>
      <c r="E4" t="s">
        <v>23</v>
      </c>
    </row>
    <row r="5" spans="1:5" x14ac:dyDescent="0.25">
      <c r="A5" t="s">
        <v>8</v>
      </c>
      <c r="B5" t="s">
        <v>14</v>
      </c>
      <c r="C5" t="s">
        <v>19</v>
      </c>
      <c r="D5">
        <v>310000</v>
      </c>
      <c r="E5" t="s">
        <v>24</v>
      </c>
    </row>
    <row r="6" spans="1:5" x14ac:dyDescent="0.25">
      <c r="A6" t="s">
        <v>9</v>
      </c>
      <c r="B6" t="s">
        <v>15</v>
      </c>
      <c r="C6" t="s">
        <v>20</v>
      </c>
      <c r="D6">
        <v>215000</v>
      </c>
      <c r="E6" t="s">
        <v>25</v>
      </c>
    </row>
    <row r="7" spans="1:5" x14ac:dyDescent="0.25">
      <c r="A7" t="s">
        <v>10</v>
      </c>
      <c r="B7" t="s">
        <v>16</v>
      </c>
      <c r="C7" t="s">
        <v>20</v>
      </c>
      <c r="D7">
        <v>95000</v>
      </c>
      <c r="E7" t="s">
        <v>26</v>
      </c>
    </row>
  </sheetData>
  <pageMargins left="0.7" right="0.7" top="0.75" bottom="0.75" header="0.3" footer="0.3"/>
  <headerFooter>
    <oddFooter>&amp;C_x000D_&amp;1#&amp;"Calibri"&amp;10&amp;K000000 Mondelez International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5" x14ac:dyDescent="0.25"/>
  <cols>
    <col min="1" max="1" width="7.5703125" bestFit="1" customWidth="1"/>
    <col min="2" max="2" width="17.28515625" bestFit="1" customWidth="1"/>
    <col min="3" max="3" width="10.140625" bestFit="1" customWidth="1"/>
  </cols>
  <sheetData>
    <row r="1" spans="1:3" x14ac:dyDescent="0.25">
      <c r="A1" s="1" t="s">
        <v>27</v>
      </c>
      <c r="B1" s="1" t="s">
        <v>28</v>
      </c>
      <c r="C1" s="1" t="s">
        <v>29</v>
      </c>
    </row>
    <row r="2" spans="1:3" x14ac:dyDescent="0.25">
      <c r="A2" t="s">
        <v>30</v>
      </c>
      <c r="B2" t="s">
        <v>34</v>
      </c>
      <c r="C2" t="s">
        <v>38</v>
      </c>
    </row>
    <row r="3" spans="1:3" x14ac:dyDescent="0.25">
      <c r="A3" t="s">
        <v>31</v>
      </c>
      <c r="B3" t="s">
        <v>35</v>
      </c>
      <c r="C3" t="s">
        <v>38</v>
      </c>
    </row>
    <row r="4" spans="1:3" x14ac:dyDescent="0.25">
      <c r="A4" t="s">
        <v>32</v>
      </c>
      <c r="B4" t="s">
        <v>36</v>
      </c>
      <c r="C4" t="s">
        <v>39</v>
      </c>
    </row>
    <row r="5" spans="1:3" x14ac:dyDescent="0.25">
      <c r="A5" t="s">
        <v>33</v>
      </c>
      <c r="B5" t="s">
        <v>37</v>
      </c>
      <c r="C5" t="s">
        <v>40</v>
      </c>
    </row>
  </sheetData>
  <pageMargins left="0.7" right="0.7" top="0.75" bottom="0.75" header="0.3" footer="0.3"/>
  <headerFooter>
    <oddFooter>&amp;C_x000D_&amp;1#&amp;"Calibri"&amp;10&amp;K000000 Mondelez International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/>
  </sheetViews>
  <sheetFormatPr defaultRowHeight="15" x14ac:dyDescent="0.25"/>
  <sheetData>
    <row r="1" spans="1:5" x14ac:dyDescent="0.25">
      <c r="A1" s="1" t="s">
        <v>41</v>
      </c>
      <c r="B1" s="1" t="s">
        <v>42</v>
      </c>
      <c r="C1" s="1" t="s">
        <v>29</v>
      </c>
      <c r="D1" s="1" t="s">
        <v>43</v>
      </c>
      <c r="E1" s="1" t="s">
        <v>63</v>
      </c>
    </row>
    <row r="2" spans="1:5" x14ac:dyDescent="0.25">
      <c r="A2" t="s">
        <v>44</v>
      </c>
      <c r="B2" t="s">
        <v>49</v>
      </c>
      <c r="C2" t="s">
        <v>38</v>
      </c>
      <c r="D2" t="s">
        <v>58</v>
      </c>
      <c r="E2" s="2">
        <f>_xll.XLOOKUP(C2,ShippingRates!A:A,ShippingRates!B:B,)</f>
        <v>15000</v>
      </c>
    </row>
    <row r="3" spans="1:5" x14ac:dyDescent="0.25">
      <c r="A3" t="s">
        <v>45</v>
      </c>
      <c r="B3" t="s">
        <v>50</v>
      </c>
      <c r="C3" t="s">
        <v>54</v>
      </c>
      <c r="D3" t="s">
        <v>59</v>
      </c>
      <c r="E3" s="2">
        <f>_xll.XLOOKUP(C3,ShippingRates!A:A,ShippingRates!B:B,)</f>
        <v>20000</v>
      </c>
    </row>
    <row r="4" spans="1:5" x14ac:dyDescent="0.25">
      <c r="A4" t="s">
        <v>46</v>
      </c>
      <c r="B4" t="s">
        <v>51</v>
      </c>
      <c r="C4" t="s">
        <v>55</v>
      </c>
      <c r="D4" t="s">
        <v>60</v>
      </c>
      <c r="E4" s="2">
        <f>_xll.XLOOKUP(C4,ShippingRates!A:A,ShippingRates!B:B,)</f>
        <v>25000</v>
      </c>
    </row>
    <row r="5" spans="1:5" x14ac:dyDescent="0.25">
      <c r="A5" t="s">
        <v>47</v>
      </c>
      <c r="B5" t="s">
        <v>52</v>
      </c>
      <c r="C5" t="s">
        <v>56</v>
      </c>
      <c r="D5" t="s">
        <v>58</v>
      </c>
      <c r="E5" s="2">
        <f>_xll.XLOOKUP(C5,ShippingRates!A:A,ShippingRates!B:B,)</f>
        <v>22000</v>
      </c>
    </row>
    <row r="6" spans="1:5" x14ac:dyDescent="0.25">
      <c r="A6" t="s">
        <v>48</v>
      </c>
      <c r="B6" t="s">
        <v>53</v>
      </c>
      <c r="C6" t="s">
        <v>57</v>
      </c>
      <c r="D6" t="s">
        <v>59</v>
      </c>
      <c r="E6" s="2">
        <f>_xll.XLOOKUP(C6,ShippingRates!A:A,ShippingRates!B:B,)</f>
        <v>24000</v>
      </c>
    </row>
  </sheetData>
  <pageMargins left="0.7" right="0.7" top="0.75" bottom="0.75" header="0.3" footer="0.3"/>
  <pageSetup paperSize="9" orientation="portrait" horizontalDpi="4294967293" verticalDpi="0" r:id="rId1"/>
  <headerFooter>
    <oddFooter>&amp;C_x000D_&amp;1#&amp;"Calibri"&amp;10&amp;K000000 Mondelez International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defaultRowHeight="15" x14ac:dyDescent="0.25"/>
  <cols>
    <col min="1" max="1" width="10.5703125" bestFit="1" customWidth="1"/>
    <col min="2" max="2" width="10.85546875" bestFit="1" customWidth="1"/>
  </cols>
  <sheetData>
    <row r="1" spans="1:2" x14ac:dyDescent="0.25">
      <c r="A1" s="1" t="s">
        <v>29</v>
      </c>
      <c r="B1" s="1" t="s">
        <v>61</v>
      </c>
    </row>
    <row r="2" spans="1:2" x14ac:dyDescent="0.25">
      <c r="A2" t="s">
        <v>38</v>
      </c>
      <c r="B2">
        <v>15000</v>
      </c>
    </row>
    <row r="3" spans="1:2" x14ac:dyDescent="0.25">
      <c r="A3" t="s">
        <v>54</v>
      </c>
      <c r="B3">
        <v>20000</v>
      </c>
    </row>
    <row r="4" spans="1:2" x14ac:dyDescent="0.25">
      <c r="A4" t="s">
        <v>55</v>
      </c>
      <c r="B4">
        <v>25000</v>
      </c>
    </row>
    <row r="5" spans="1:2" x14ac:dyDescent="0.25">
      <c r="A5" t="s">
        <v>56</v>
      </c>
      <c r="B5">
        <v>22000</v>
      </c>
    </row>
    <row r="6" spans="1:2" x14ac:dyDescent="0.25">
      <c r="A6" t="s">
        <v>57</v>
      </c>
      <c r="B6">
        <v>24000</v>
      </c>
    </row>
  </sheetData>
  <pageMargins left="0.7" right="0.7" top="0.75" bottom="0.75" header="0.3" footer="0.3"/>
  <headerFooter>
    <oddFooter>&amp;C_x000D_&amp;1#&amp;"Calibri"&amp;10&amp;K000000 Mondelez International Internal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5"/>
  <sheetViews>
    <sheetView tabSelected="1" workbookViewId="0"/>
  </sheetViews>
  <sheetFormatPr defaultRowHeight="15" x14ac:dyDescent="0.25"/>
  <cols>
    <col min="1" max="1" width="7.5703125" bestFit="1" customWidth="1"/>
    <col min="2" max="2" width="9.7109375" bestFit="1" customWidth="1"/>
    <col min="3" max="3" width="13.5703125" style="4" bestFit="1" customWidth="1"/>
  </cols>
  <sheetData>
    <row r="1" spans="1:4" x14ac:dyDescent="0.25">
      <c r="A1" s="1" t="s">
        <v>27</v>
      </c>
      <c r="B1" s="1" t="s">
        <v>0</v>
      </c>
      <c r="C1" s="3" t="s">
        <v>62</v>
      </c>
      <c r="D1" s="1" t="s">
        <v>64</v>
      </c>
    </row>
    <row r="2" spans="1:4" x14ac:dyDescent="0.25">
      <c r="A2" t="s">
        <v>30</v>
      </c>
      <c r="B2" t="s">
        <v>5</v>
      </c>
      <c r="C2" s="4">
        <v>442673</v>
      </c>
      <c r="D2" t="str">
        <f>A2&amp;B2</f>
        <v>S01P001</v>
      </c>
    </row>
    <row r="3" spans="1:4" x14ac:dyDescent="0.25">
      <c r="A3" t="s">
        <v>30</v>
      </c>
      <c r="B3" t="s">
        <v>6</v>
      </c>
      <c r="C3" s="4">
        <v>200061</v>
      </c>
      <c r="D3" t="str">
        <f t="shared" ref="D3:D25" si="0">A3&amp;B3</f>
        <v>S01P002</v>
      </c>
    </row>
    <row r="4" spans="1:4" x14ac:dyDescent="0.25">
      <c r="A4" t="s">
        <v>30</v>
      </c>
      <c r="B4" t="s">
        <v>7</v>
      </c>
      <c r="C4" s="4">
        <v>524199</v>
      </c>
      <c r="D4" t="str">
        <f t="shared" si="0"/>
        <v>S01P003</v>
      </c>
    </row>
    <row r="5" spans="1:4" x14ac:dyDescent="0.25">
      <c r="A5" t="s">
        <v>30</v>
      </c>
      <c r="B5" t="s">
        <v>8</v>
      </c>
      <c r="C5" s="4">
        <v>335496</v>
      </c>
      <c r="D5" t="str">
        <f t="shared" si="0"/>
        <v>S01P004</v>
      </c>
    </row>
    <row r="6" spans="1:4" x14ac:dyDescent="0.25">
      <c r="A6" t="s">
        <v>30</v>
      </c>
      <c r="B6" t="s">
        <v>9</v>
      </c>
      <c r="C6" s="4">
        <v>218017</v>
      </c>
      <c r="D6" t="str">
        <f t="shared" si="0"/>
        <v>S01P005</v>
      </c>
    </row>
    <row r="7" spans="1:4" x14ac:dyDescent="0.25">
      <c r="A7" t="s">
        <v>30</v>
      </c>
      <c r="B7" t="s">
        <v>10</v>
      </c>
      <c r="C7" s="4">
        <v>110059</v>
      </c>
      <c r="D7" t="str">
        <f t="shared" si="0"/>
        <v>S01P006</v>
      </c>
    </row>
    <row r="8" spans="1:4" x14ac:dyDescent="0.25">
      <c r="A8" t="s">
        <v>31</v>
      </c>
      <c r="B8" t="s">
        <v>5</v>
      </c>
      <c r="C8" s="4">
        <v>434372</v>
      </c>
      <c r="D8" t="str">
        <f t="shared" si="0"/>
        <v>S02P001</v>
      </c>
    </row>
    <row r="9" spans="1:4" x14ac:dyDescent="0.25">
      <c r="A9" t="s">
        <v>31</v>
      </c>
      <c r="B9" t="s">
        <v>6</v>
      </c>
      <c r="C9" s="4">
        <v>170201</v>
      </c>
      <c r="D9" t="str">
        <f t="shared" si="0"/>
        <v>S02P002</v>
      </c>
    </row>
    <row r="10" spans="1:4" x14ac:dyDescent="0.25">
      <c r="A10" t="s">
        <v>31</v>
      </c>
      <c r="B10" t="s">
        <v>7</v>
      </c>
      <c r="C10" s="4">
        <v>532597</v>
      </c>
      <c r="D10" t="str">
        <f t="shared" si="0"/>
        <v>S02P003</v>
      </c>
    </row>
    <row r="11" spans="1:4" x14ac:dyDescent="0.25">
      <c r="A11" t="s">
        <v>31</v>
      </c>
      <c r="B11" t="s">
        <v>8</v>
      </c>
      <c r="C11" s="4">
        <v>302904</v>
      </c>
      <c r="D11" t="str">
        <f t="shared" si="0"/>
        <v>S02P004</v>
      </c>
    </row>
    <row r="12" spans="1:4" x14ac:dyDescent="0.25">
      <c r="A12" t="s">
        <v>31</v>
      </c>
      <c r="B12" t="s">
        <v>9</v>
      </c>
      <c r="C12" s="4">
        <v>232909</v>
      </c>
      <c r="D12" t="str">
        <f t="shared" si="0"/>
        <v>S02P005</v>
      </c>
    </row>
    <row r="13" spans="1:4" x14ac:dyDescent="0.25">
      <c r="A13" t="s">
        <v>31</v>
      </c>
      <c r="B13" t="s">
        <v>10</v>
      </c>
      <c r="C13" s="4">
        <v>86241</v>
      </c>
      <c r="D13" t="str">
        <f t="shared" si="0"/>
        <v>S02P006</v>
      </c>
    </row>
    <row r="14" spans="1:4" x14ac:dyDescent="0.25">
      <c r="A14" t="s">
        <v>32</v>
      </c>
      <c r="B14" t="s">
        <v>5</v>
      </c>
      <c r="C14" s="4">
        <v>468002</v>
      </c>
      <c r="D14" t="str">
        <f t="shared" si="0"/>
        <v>S03P001</v>
      </c>
    </row>
    <row r="15" spans="1:4" x14ac:dyDescent="0.25">
      <c r="A15" t="s">
        <v>32</v>
      </c>
      <c r="B15" t="s">
        <v>6</v>
      </c>
      <c r="C15" s="4">
        <v>169224</v>
      </c>
      <c r="D15" t="str">
        <f t="shared" si="0"/>
        <v>S03P002</v>
      </c>
    </row>
    <row r="16" spans="1:4" x14ac:dyDescent="0.25">
      <c r="A16" t="s">
        <v>32</v>
      </c>
      <c r="B16" t="s">
        <v>7</v>
      </c>
      <c r="C16" s="4">
        <v>504289</v>
      </c>
      <c r="D16" t="str">
        <f t="shared" si="0"/>
        <v>S03P003</v>
      </c>
    </row>
    <row r="17" spans="1:4" x14ac:dyDescent="0.25">
      <c r="A17" t="s">
        <v>32</v>
      </c>
      <c r="B17" t="s">
        <v>8</v>
      </c>
      <c r="C17" s="4">
        <v>316210</v>
      </c>
      <c r="D17" t="str">
        <f t="shared" si="0"/>
        <v>S03P004</v>
      </c>
    </row>
    <row r="18" spans="1:4" x14ac:dyDescent="0.25">
      <c r="A18" t="s">
        <v>32</v>
      </c>
      <c r="B18" t="s">
        <v>9</v>
      </c>
      <c r="C18" s="4">
        <v>218712</v>
      </c>
      <c r="D18" t="str">
        <f t="shared" si="0"/>
        <v>S03P005</v>
      </c>
    </row>
    <row r="19" spans="1:4" x14ac:dyDescent="0.25">
      <c r="A19" t="s">
        <v>32</v>
      </c>
      <c r="B19" t="s">
        <v>10</v>
      </c>
      <c r="C19" s="4">
        <v>80742</v>
      </c>
      <c r="D19" t="str">
        <f t="shared" si="0"/>
        <v>S03P006</v>
      </c>
    </row>
    <row r="20" spans="1:4" x14ac:dyDescent="0.25">
      <c r="A20" t="s">
        <v>33</v>
      </c>
      <c r="B20" t="s">
        <v>5</v>
      </c>
      <c r="C20" s="4">
        <v>473548</v>
      </c>
      <c r="D20" t="str">
        <f t="shared" si="0"/>
        <v>S04P001</v>
      </c>
    </row>
    <row r="21" spans="1:4" x14ac:dyDescent="0.25">
      <c r="A21" t="s">
        <v>33</v>
      </c>
      <c r="B21" t="s">
        <v>6</v>
      </c>
      <c r="C21" s="4">
        <v>207475</v>
      </c>
      <c r="D21" t="str">
        <f t="shared" si="0"/>
        <v>S04P002</v>
      </c>
    </row>
    <row r="22" spans="1:4" x14ac:dyDescent="0.25">
      <c r="A22" t="s">
        <v>33</v>
      </c>
      <c r="B22" t="s">
        <v>7</v>
      </c>
      <c r="C22" s="4">
        <v>533416</v>
      </c>
      <c r="D22" t="str">
        <f t="shared" si="0"/>
        <v>S04P003</v>
      </c>
    </row>
    <row r="23" spans="1:4" x14ac:dyDescent="0.25">
      <c r="A23" t="s">
        <v>33</v>
      </c>
      <c r="B23" t="s">
        <v>8</v>
      </c>
      <c r="C23" s="4">
        <v>338604</v>
      </c>
      <c r="D23" t="str">
        <f t="shared" si="0"/>
        <v>S04P004</v>
      </c>
    </row>
    <row r="24" spans="1:4" x14ac:dyDescent="0.25">
      <c r="A24" t="s">
        <v>33</v>
      </c>
      <c r="B24" t="s">
        <v>9</v>
      </c>
      <c r="C24" s="4">
        <v>239391</v>
      </c>
      <c r="D24" t="str">
        <f t="shared" si="0"/>
        <v>S04P005</v>
      </c>
    </row>
    <row r="25" spans="1:4" x14ac:dyDescent="0.25">
      <c r="A25" t="s">
        <v>33</v>
      </c>
      <c r="B25" t="s">
        <v>10</v>
      </c>
      <c r="C25" s="4">
        <v>121595</v>
      </c>
      <c r="D25" t="str">
        <f t="shared" si="0"/>
        <v>S04P006</v>
      </c>
    </row>
  </sheetData>
  <pageMargins left="0.7" right="0.7" top="0.75" bottom="0.75" header="0.3" footer="0.3"/>
  <headerFooter>
    <oddFooter>&amp;C_x000D_&amp;1#&amp;"Calibri"&amp;10&amp;K000000 Mondelez International Internal</oddFooter>
  </headerFooter>
</worksheet>
</file>

<file path=docMetadata/LabelInfo.xml><?xml version="1.0" encoding="utf-8"?>
<clbl:labelList xmlns:clbl="http://schemas.microsoft.com/office/2020/mipLabelMetadata">
  <clbl:label id="{a9324442-4656-4fca-b26e-099b64ea741e}" enabled="1" method="Standard" siteId="{18a01ad8-9727-498a-a47d-17374c6fd9f7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Products</vt:lpstr>
      <vt:lpstr>Stores</vt:lpstr>
      <vt:lpstr>Customers</vt:lpstr>
      <vt:lpstr>ShippingRates</vt:lpstr>
      <vt:lpstr>PriceList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yeni</cp:lastModifiedBy>
  <dcterms:created xsi:type="dcterms:W3CDTF">2025-09-04T15:28:54Z</dcterms:created>
  <dcterms:modified xsi:type="dcterms:W3CDTF">2025-09-10T08:39:14Z</dcterms:modified>
</cp:coreProperties>
</file>